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xr:revisionPtr revIDLastSave="0" documentId="8_{AF07914A-6544-44E6-83AF-79E95EC03349}" xr6:coauthVersionLast="47" xr6:coauthVersionMax="47" xr10:uidLastSave="{00000000-0000-0000-0000-000000000000}"/>
  <bookViews>
    <workbookView xWindow="-108" yWindow="-108" windowWidth="23256" windowHeight="12456" firstSheet="1" activeTab="1" xr2:uid="{00000000-000D-0000-FFFF-FFFF00000000}"/>
  </bookViews>
  <sheets>
    <sheet name="data" sheetId="1" state="hidden" r:id="rId1"/>
    <sheet name="Dashboard" sheetId="5" r:id="rId2"/>
    <sheet name="Pivot tables" sheetId="4" state="hidden" r:id="rId3"/>
  </sheets>
  <definedNames>
    <definedName name="Slicer_failure_type">#N/A</definedName>
    <definedName name="Slicer_type">#N/A</definedName>
  </definedNames>
  <calcPr calcId="171027"/>
  <pivotCaches>
    <pivotCache cacheId="0" r:id="rId4"/>
    <pivotCache cacheId="1" r:id="rId5"/>
    <pivotCache cacheId="2" r:id="rId6"/>
    <pivotCache cacheId="3" r:id="rId7"/>
    <pivotCache cacheId="7" r:id="rId8"/>
    <pivotCache cacheId="13" r:id="rId9"/>
    <pivotCache cacheId="1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<sst xmlns="http://schemas.openxmlformats.org/spreadsheetml/2006/main" count="135" uniqueCount="44">
  <si>
    <t>total_failures</t>
  </si>
  <si>
    <t>failure_type</t>
  </si>
  <si>
    <t>Heat Dissipation Failure</t>
  </si>
  <si>
    <t>No Failure</t>
  </si>
  <si>
    <t>Overstrain Failure</t>
  </si>
  <si>
    <t>Power Failure</t>
  </si>
  <si>
    <t>Tool Wear Failure</t>
  </si>
  <si>
    <t>avg_process_temp</t>
  </si>
  <si>
    <t>avg_air_temp</t>
  </si>
  <si>
    <t>avg_speed</t>
  </si>
  <si>
    <t>avg_torque</t>
  </si>
  <si>
    <t>Random Failures</t>
  </si>
  <si>
    <t>status</t>
  </si>
  <si>
    <t>total_rows</t>
  </si>
  <si>
    <t>Normal</t>
  </si>
  <si>
    <t>Problem</t>
  </si>
  <si>
    <t>failuer Rat %</t>
  </si>
  <si>
    <t>H</t>
  </si>
  <si>
    <t>L</t>
  </si>
  <si>
    <t>M</t>
  </si>
  <si>
    <t>P_TUYPE</t>
  </si>
  <si>
    <t>failuer</t>
  </si>
  <si>
    <t>type</t>
  </si>
  <si>
    <t>persentage</t>
  </si>
  <si>
    <t>Row Labels</t>
  </si>
  <si>
    <t>Grand Total</t>
  </si>
  <si>
    <t>Sum of total_failures</t>
  </si>
  <si>
    <t>Sum of avg_process_temp</t>
  </si>
  <si>
    <t>Sum of avg_air_temp</t>
  </si>
  <si>
    <t>Sum of avg_speed</t>
  </si>
  <si>
    <t>Sum of avg_torque</t>
  </si>
  <si>
    <t>Column Labels</t>
  </si>
  <si>
    <t>Percentage of Failure</t>
  </si>
  <si>
    <t>Product Type</t>
  </si>
  <si>
    <t>avg_ToolWear</t>
  </si>
  <si>
    <t>\</t>
  </si>
  <si>
    <t>TYPE</t>
  </si>
  <si>
    <t>AVG TOOL WEAR</t>
  </si>
  <si>
    <t>min_process_temp</t>
  </si>
  <si>
    <t>min_air_temp</t>
  </si>
  <si>
    <t>min_speed</t>
  </si>
  <si>
    <t>min_torque</t>
  </si>
  <si>
    <t xml:space="preserve">process_temp </t>
  </si>
  <si>
    <t>air_temp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</si>
</sst>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
  </numFmts>
  <fonts count="4" x14ac:knownFonts="1">
    <font>
      <sz val="11"/>
      <color theme="1"/>
      <name val="Calibri"/>
      <family val="2"/>
      <scheme val="minor"/>
    </font>
    <font>
      <b/>
      <sz val="11"/>
      <name val="Calibri"/>
    </font>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0" xfId="0" applyFont="1" applyAlignment="1">
      <alignment horizontal="center" vertical="center"/>
    </xf>
    <xf numFmtId="0" fontId="0" fillId="2" borderId="0" xfId="0" applyFill="1"/>
    <xf numFmtId="10" fontId="0" fillId="0" borderId="0" xfId="1" applyNumberFormat="1" applyFont="1"/>
    <xf numFmtId="164" fontId="0" fillId="0" borderId="0" xfId="1" applyNumberFormat="1" applyFont="1"/>
    <xf numFmtId="49" fontId="1" fillId="0" borderId="0" xfId="0" applyNumberFormat="1" applyFont="1" applyAlignment="1">
      <alignment horizontal="center" vertical="center"/>
    </xf>
    <xf numFmtId="49"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0" applyNumberFormat="1"/>
    <xf numFmtId="0" fontId="3" fillId="0" borderId="0" xfId="0" applyFont="1" applyAlignment="1">
      <alignment horizontal="center" vertical="center"/>
    </xf>
    <xf numFmtId="2" fontId="0" fillId="0" borderId="0" xfId="0" applyNumberFormat="1"/>
    <xf numFmtId="165" fontId="0" fillId="0" borderId="0" xfId="0" applyNumberFormat="1"/>
    <xf numFmtId="1" fontId="0" fillId="0" borderId="0" xfId="0" applyNumberFormat="1"/>
  </cellXfs>
  <cellStyles count="2">
    <cellStyle name="Normal" xfId="0" builtinId="0"/>
    <cellStyle name="Percent" xfId="1" builtinId="5"/>
  </cellStyles>
  <dxfs count="11">
    <dxf>
      <numFmt numFmtId="1" formatCode="0"/>
    </dxf>
    <dxf>
      <numFmt numFmtId="165" formatCode="0.00\ "/>
    </dxf>
    <dxf>
      <numFmt numFmtId="165" formatCode="0.00\ "/>
    </dxf>
    <dxf>
      <numFmt numFmtId="2" formatCode="0.00"/>
    </dxf>
    <dxf>
      <numFmt numFmtId="2" formatCode="0.00"/>
    </dxf>
    <dxf>
      <numFmt numFmtId="13" formatCode="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
      <numFmt numFmtId="30" formatCode="@"/>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[Maintenance Dashboard.xlsx]Pivot tables!PivotTable11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1">
                    <a:lumMod val="50000"/>
                  </a:schemeClr>
                </a:solidFill>
              </a:rPr>
              <a:t>Failure Type Breakdown </a:t>
            </a:r>
          </a:p>
        </c:rich>
      </c:tx>
      <c:layout>
        <c:manualLayout>
          <c:xMode val="edge"/>
          <c:yMode val="edge"/>
          <c:x val="0.20432473217887612"/>
          <c:y val="3.23624595469255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tables'!$A$4:$A$9</c:f>
              <c:strCache>
                <c:ptCount val="5"/>
                <c:pt idx="0">
                  <c:v>No Failure</c:v>
                </c:pt>
                <c:pt idx="1">
                  <c:v>Tool Wear Failure</c:v>
                </c:pt>
                <c:pt idx="2">
                  <c:v>Overstrain Failure</c:v>
                </c:pt>
                <c:pt idx="3">
                  <c:v>Power Failure</c:v>
                </c:pt>
                <c:pt idx="4">
                  <c:v>Heat Dissipation Failure</c:v>
                </c:pt>
              </c:strCache>
            </c:strRef>
          </c:cat>
          <c:val>
            <c:numRef>
              <c:f>'Pivot tables'!$B$4:$B$9</c:f>
              <c:numCache>
                <c:formatCode>General</c:formatCode>
                <c:ptCount val="5"/>
                <c:pt idx="0">
                  <c:v>9</c:v>
                </c:pt>
                <c:pt idx="1">
                  <c:v>45</c:v>
                </c:pt>
                <c:pt idx="2">
                  <c:v>78</c:v>
                </c:pt>
                <c:pt idx="3">
                  <c:v>95</c:v>
                </c:pt>
                <c:pt idx="4">
                  <c:v>112</c:v>
                </c:pt>
              </c:numCache>
            </c:numRef>
          </c:val>
          <c:extLst>
            <c:ext xmlns:c16="http://schemas.microsoft.com/office/drawing/2014/chart" uri="{C3380CC4-5D6E-409C-BE32-E72D297353CC}">
              <c16:uniqueId val="{00000000-E59F-486D-9851-E26A8849D8C6}"/>
            </c:ext>
          </c:extLst>
        </c:ser>
        <c:dLbls>
          <c:dLblPos val="inEnd"/>
          <c:showLegendKey val="0"/>
          <c:showVal val="1"/>
          <c:showCatName val="0"/>
          <c:showSerName val="0"/>
          <c:showPercent val="0"/>
          <c:showBubbleSize val="0"/>
        </c:dLbls>
        <c:gapWidth val="65"/>
        <c:axId val="1746420192"/>
        <c:axId val="1746413536"/>
      </c:barChart>
      <c:catAx>
        <c:axId val="17464201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6413536"/>
        <c:crosses val="autoZero"/>
        <c:auto val="1"/>
        <c:lblAlgn val="ctr"/>
        <c:lblOffset val="100"/>
        <c:noMultiLvlLbl val="0"/>
      </c:catAx>
      <c:valAx>
        <c:axId val="1746413536"/>
        <c:scaling>
          <c:orientation val="minMax"/>
        </c:scaling>
        <c:delete val="1"/>
        <c:axPos val="b"/>
        <c:numFmt formatCode="General" sourceLinked="1"/>
        <c:majorTickMark val="none"/>
        <c:minorTickMark val="none"/>
        <c:tickLblPos val="nextTo"/>
        <c:crossAx val="1746420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[Maintenance Dashboard.xlsx]Pivot tables!PivotTable25</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accent1">
                    <a:lumMod val="50000"/>
                  </a:schemeClr>
                </a:solidFill>
              </a:rPr>
              <a:t>Failure Distribution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'Pivot tables'!$B$16</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A568-46AC-B1A6-C8CDAF4B7CB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A568-46AC-B1A6-C8CDAF4B7CB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A568-46AC-B1A6-C8CDAF4B7C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tables'!$A$17:$A$20</c:f>
              <c:strCache>
                <c:ptCount val="3"/>
                <c:pt idx="0">
                  <c:v>H</c:v>
                </c:pt>
                <c:pt idx="1">
                  <c:v>L</c:v>
                </c:pt>
                <c:pt idx="2">
                  <c:v>M</c:v>
                </c:pt>
              </c:strCache>
            </c:strRef>
          </c:cat>
          <c:val>
            <c:numRef>
              <c:f>'Pivot tables'!$B$17:$B$20</c:f>
              <c:numCache>
                <c:formatCode>0%</c:formatCode>
                <c:ptCount val="3"/>
                <c:pt idx="0">
                  <c:v>0.26140216559116264</c:v>
                </c:pt>
                <c:pt idx="1">
                  <c:v>0.44296182872142625</c:v>
                </c:pt>
                <c:pt idx="2">
                  <c:v>0.29563600568741111</c:v>
                </c:pt>
              </c:numCache>
            </c:numRef>
          </c:val>
          <c:extLst>
            <c:ext xmlns:c16="http://schemas.microsoft.com/office/drawing/2014/chart" uri="{C3380CC4-5D6E-409C-BE32-E72D297353CC}">
              <c16:uniqueId val="{00000006-A568-46AC-B1A6-C8CDAF4B7CB9}"/>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[Maintenance Dashboard.xlsx]Pivot tables!PivotTable3</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chemeClr val="accent1">
                    <a:lumMod val="50000"/>
                  </a:schemeClr>
                </a:solidFill>
              </a:rPr>
              <a:t>AVG TOOL WEAR TIME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07572664528047E-2"/>
          <c:y val="0.32682223315835518"/>
          <c:w val="0.93247391037446281"/>
          <c:h val="0.54610277230971127"/>
        </c:manualLayout>
      </c:layout>
      <c:barChart>
        <c:barDir val="col"/>
        <c:grouping val="clustered"/>
        <c:varyColors val="0"/>
        <c:ser>
          <c:idx val="0"/>
          <c:order val="0"/>
          <c:tx>
            <c:strRef>
              <c:f>'Pivot tables'!$M$29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tables'!$L$30:$L$33</c:f>
              <c:strCache>
                <c:ptCount val="3"/>
                <c:pt idx="0">
                  <c:v>H</c:v>
                </c:pt>
                <c:pt idx="1">
                  <c:v>L</c:v>
                </c:pt>
                <c:pt idx="2">
                  <c:v>M</c:v>
                </c:pt>
              </c:strCache>
            </c:strRef>
          </c:cat>
          <c:val>
            <c:numRef>
              <c:f>'Pivot tables'!$M$30:$M$33</c:f>
              <c:numCache>
                <c:formatCode>General</c:formatCode>
                <c:ptCount val="3"/>
                <c:pt idx="0">
                  <c:v>107</c:v>
                </c:pt>
                <c:pt idx="1">
                  <c:v>108</c:v>
                </c:pt>
                <c:pt idx="2">
                  <c:v>107</c:v>
                </c:pt>
              </c:numCache>
            </c:numRef>
          </c:val>
          <c:extLst>
            <c:ext xmlns:c16="http://schemas.microsoft.com/office/drawing/2014/chart" uri="{C3380CC4-5D6E-409C-BE32-E72D297353CC}">
              <c16:uniqueId val="{00000000-0D8C-4F6D-BB02-DFFB34019CD3}"/>
            </c:ext>
          </c:extLst>
        </c:ser>
        <c:dLbls>
          <c:dLblPos val="inEnd"/>
          <c:showLegendKey val="0"/>
          <c:showVal val="1"/>
          <c:showCatName val="0"/>
          <c:showSerName val="0"/>
          <c:showPercent val="0"/>
          <c:showBubbleSize val="0"/>
        </c:dLbls>
        <c:gapWidth val="41"/>
        <c:axId val="1937710800"/>
        <c:axId val="1937717040"/>
      </c:barChart>
      <c:catAx>
        <c:axId val="193771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37717040"/>
        <c:crosses val="autoZero"/>
        <c:auto val="1"/>
        <c:lblAlgn val="ctr"/>
        <c:lblOffset val="100"/>
        <c:noMultiLvlLbl val="0"/>
      </c:catAx>
      <c:valAx>
        <c:axId val="1937717040"/>
        <c:scaling>
          <c:orientation val="minMax"/>
        </c:scaling>
        <c:delete val="1"/>
        <c:axPos val="l"/>
        <c:numFmt formatCode="General" sourceLinked="1"/>
        <c:majorTickMark val="none"/>
        <c:minorTickMark val="none"/>
        <c:tickLblPos val="nextTo"/>
        <c:crossAx val="193771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[Maintenance Dashboard.xlsx]Pivot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accent1">
                    <a:lumMod val="50000"/>
                  </a:schemeClr>
                </a:solidFill>
              </a:rPr>
              <a:t>Min Temperature Per Failure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tables'!$C$33</c:f>
              <c:strCache>
                <c:ptCount val="1"/>
                <c:pt idx="0">
                  <c:v>process_temp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tables'!$B$34:$B$38</c:f>
              <c:strCache>
                <c:ptCount val="5"/>
                <c:pt idx="0">
                  <c:v>Heat Dissipation Failure</c:v>
                </c:pt>
                <c:pt idx="1">
                  <c:v>Overstrain Failure</c:v>
                </c:pt>
                <c:pt idx="2">
                  <c:v>Power Failure</c:v>
                </c:pt>
                <c:pt idx="3">
                  <c:v>Random Failures</c:v>
                </c:pt>
                <c:pt idx="4">
                  <c:v>Tool Wear Failure</c:v>
                </c:pt>
              </c:strCache>
            </c:strRef>
          </c:cat>
          <c:val>
            <c:numRef>
              <c:f>'Pivot tables'!$C$34:$C$38</c:f>
              <c:numCache>
                <c:formatCode>0</c:formatCode>
                <c:ptCount val="5"/>
                <c:pt idx="0">
                  <c:v>309.39999389648398</c:v>
                </c:pt>
                <c:pt idx="1">
                  <c:v>306.10000610351602</c:v>
                </c:pt>
                <c:pt idx="2">
                  <c:v>306.20001220703102</c:v>
                </c:pt>
                <c:pt idx="3">
                  <c:v>307.70001220703102</c:v>
                </c:pt>
                <c:pt idx="4">
                  <c:v>307.39999389648398</c:v>
                </c:pt>
              </c:numCache>
            </c:numRef>
          </c:val>
          <c:extLst>
            <c:ext xmlns:c16="http://schemas.microsoft.com/office/drawing/2014/chart" uri="{C3380CC4-5D6E-409C-BE32-E72D297353CC}">
              <c16:uniqueId val="{00000000-1E2E-4A51-98AC-D44F67C7C458}"/>
            </c:ext>
          </c:extLst>
        </c:ser>
        <c:ser>
          <c:idx val="1"/>
          <c:order val="1"/>
          <c:tx>
            <c:strRef>
              <c:f>'Pivot tables'!$D$33</c:f>
              <c:strCache>
                <c:ptCount val="1"/>
                <c:pt idx="0">
                  <c:v>air_temp</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tables'!$B$34:$B$38</c:f>
              <c:strCache>
                <c:ptCount val="5"/>
                <c:pt idx="0">
                  <c:v>Heat Dissipation Failure</c:v>
                </c:pt>
                <c:pt idx="1">
                  <c:v>Overstrain Failure</c:v>
                </c:pt>
                <c:pt idx="2">
                  <c:v>Power Failure</c:v>
                </c:pt>
                <c:pt idx="3">
                  <c:v>Random Failures</c:v>
                </c:pt>
                <c:pt idx="4">
                  <c:v>Tool Wear Failure</c:v>
                </c:pt>
              </c:strCache>
            </c:strRef>
          </c:cat>
          <c:val>
            <c:numRef>
              <c:f>'Pivot tables'!$D$34:$D$38</c:f>
              <c:numCache>
                <c:formatCode>0</c:formatCode>
                <c:ptCount val="5"/>
                <c:pt idx="0">
                  <c:v>300.79998779296898</c:v>
                </c:pt>
                <c:pt idx="1">
                  <c:v>295.60000610351602</c:v>
                </c:pt>
                <c:pt idx="2">
                  <c:v>295.70001220703102</c:v>
                </c:pt>
                <c:pt idx="3">
                  <c:v>297</c:v>
                </c:pt>
                <c:pt idx="4">
                  <c:v>296.89999389648398</c:v>
                </c:pt>
              </c:numCache>
            </c:numRef>
          </c:val>
          <c:extLst>
            <c:ext xmlns:c16="http://schemas.microsoft.com/office/drawing/2014/chart" uri="{C3380CC4-5D6E-409C-BE32-E72D297353CC}">
              <c16:uniqueId val="{00000001-1E2E-4A51-98AC-D44F67C7C458}"/>
            </c:ext>
          </c:extLst>
        </c:ser>
        <c:dLbls>
          <c:dLblPos val="outEnd"/>
          <c:showLegendKey val="0"/>
          <c:showVal val="1"/>
          <c:showCatName val="0"/>
          <c:showSerName val="0"/>
          <c:showPercent val="0"/>
          <c:showBubbleSize val="0"/>
        </c:dLbls>
        <c:gapWidth val="219"/>
        <c:overlap val="-27"/>
        <c:axId val="1933470432"/>
        <c:axId val="1933467104"/>
      </c:barChart>
      <c:catAx>
        <c:axId val="193347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467104"/>
        <c:crosses val="autoZero"/>
        <c:auto val="1"/>
        <c:lblAlgn val="ctr"/>
        <c:lblOffset val="100"/>
        <c:noMultiLvlLbl val="0"/>
      </c:catAx>
      <c:valAx>
        <c:axId val="1933467104"/>
        <c:scaling>
          <c:orientation val="minMax"/>
        </c:scaling>
        <c:delete val="1"/>
        <c:axPos val="l"/>
        <c:numFmt formatCode="0" sourceLinked="1"/>
        <c:majorTickMark val="none"/>
        <c:minorTickMark val="none"/>
        <c:tickLblPos val="nextTo"/>
        <c:crossAx val="193347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121920</xdr:colOff>
      <xdr:row>36</xdr:row>
      <xdr:rowOff>76200</xdr:rowOff>
    </xdr:to>
    <xdr:sp macro="" textlink="">
      <xdr:nvSpPr>
        <xdr:cNvPr id="2" name="Rectangle 1">
          <a:extLst>
            <a:ext uri="{FF2B5EF4-FFF2-40B4-BE49-F238E27FC236}">
              <a16:creationId xmlns:a16="http://schemas.microsoft.com/office/drawing/2014/main" id="{E9650D62-3D1C-443F-AB0C-40AE28E020D0}"/>
            </a:ext>
          </a:extLst>
        </xdr:cNvPr>
        <xdr:cNvSpPr/>
      </xdr:nvSpPr>
      <xdr:spPr>
        <a:xfrm>
          <a:off x="0" y="0"/>
          <a:ext cx="14142720" cy="6659880"/>
        </a:xfrm>
        <a:prstGeom prst="rect">
          <a:avLst/>
        </a:prstGeom>
        <a:solidFill>
          <a:schemeClr val="accent3">
            <a:lumMod val="75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0</xdr:col>
      <xdr:colOff>53340</xdr:colOff>
      <xdr:row>0</xdr:row>
      <xdr:rowOff>60960</xdr:rowOff>
    </xdr:from>
    <xdr:to>
      <xdr:col>23</xdr:col>
      <xdr:colOff>22860</xdr:colOff>
      <xdr:row>3</xdr:row>
      <xdr:rowOff>167640</xdr:rowOff>
    </xdr:to>
    <xdr:sp macro="" textlink="">
      <xdr:nvSpPr>
        <xdr:cNvPr id="3" name="Rectangle 2">
          <a:extLst>
            <a:ext uri="{FF2B5EF4-FFF2-40B4-BE49-F238E27FC236}">
              <a16:creationId xmlns:a16="http://schemas.microsoft.com/office/drawing/2014/main" id="{2665C82A-B4FD-4BB0-A6A5-17ABEEC3876B}"/>
            </a:ext>
          </a:extLst>
        </xdr:cNvPr>
        <xdr:cNvSpPr/>
      </xdr:nvSpPr>
      <xdr:spPr>
        <a:xfrm>
          <a:off x="53340" y="60960"/>
          <a:ext cx="13990320" cy="655320"/>
        </a:xfrm>
        <a:prstGeom prst="rect">
          <a:avLst/>
        </a:prstGeom>
        <a:solidFill>
          <a:srgbClr val="92D050"/>
        </a:solidFill>
        <a:ln>
          <a:no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3</xdr:col>
      <xdr:colOff>388620</xdr:colOff>
      <xdr:row>0</xdr:row>
      <xdr:rowOff>114300</xdr:rowOff>
    </xdr:from>
    <xdr:to>
      <xdr:col>18</xdr:col>
      <xdr:colOff>289560</xdr:colOff>
      <xdr:row>3</xdr:row>
      <xdr:rowOff>76200</xdr:rowOff>
    </xdr:to>
    <xdr:sp macro="" textlink="">
      <xdr:nvSpPr>
        <xdr:cNvPr id="4" name="TextBox 3">
          <a:extLst>
            <a:ext uri="{FF2B5EF4-FFF2-40B4-BE49-F238E27FC236}">
              <a16:creationId xmlns:a16="http://schemas.microsoft.com/office/drawing/2014/main" id="{04598C02-6DEB-446A-92AF-7EE684D02B3E}"/>
            </a:ext>
          </a:extLst>
        </xdr:cNvPr>
        <xdr:cNvSpPr txBox="1"/>
      </xdr:nvSpPr>
      <xdr:spPr>
        <a:xfrm>
          <a:off x="2217420" y="114300"/>
          <a:ext cx="90449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a:t>
          </a:r>
          <a:r>
            <a:rPr lang="en-US" sz="3200" b="1"/>
            <a:t>Predictive Maintenance Analysis Dashboard</a:t>
          </a:r>
          <a:endParaRPr lang="en-US" sz="2000" b="1"/>
        </a:p>
      </xdr:txBody>
    </xdr:sp>
    <xdr:clientData/>
  </xdr:twoCellAnchor>
  <xdr:twoCellAnchor>
    <xdr:from>
      <xdr:col>8</xdr:col>
      <xdr:colOff>419100</xdr:colOff>
      <xdr:row>4</xdr:row>
      <xdr:rowOff>114300</xdr:rowOff>
    </xdr:from>
    <xdr:to>
      <xdr:col>11</xdr:col>
      <xdr:colOff>342900</xdr:colOff>
      <xdr:row>10</xdr:row>
      <xdr:rowOff>53340</xdr:rowOff>
    </xdr:to>
    <xdr:grpSp>
      <xdr:nvGrpSpPr>
        <xdr:cNvPr id="8" name="Group 7">
          <a:extLst>
            <a:ext uri="{FF2B5EF4-FFF2-40B4-BE49-F238E27FC236}">
              <a16:creationId xmlns:a16="http://schemas.microsoft.com/office/drawing/2014/main" id="{D16EF264-810C-4DE5-8DD6-4AC6DCEE94D1}"/>
            </a:ext>
          </a:extLst>
        </xdr:cNvPr>
        <xdr:cNvGrpSpPr/>
      </xdr:nvGrpSpPr>
      <xdr:grpSpPr>
        <a:xfrm>
          <a:off x="5295900" y="845820"/>
          <a:ext cx="1752600" cy="1036320"/>
          <a:chOff x="160020" y="830580"/>
          <a:chExt cx="1752600" cy="1036320"/>
        </a:xfrm>
      </xdr:grpSpPr>
      <xdr:sp macro="" textlink="">
        <xdr:nvSpPr>
          <xdr:cNvPr id="5" name="Rectangle 4">
            <a:extLst>
              <a:ext uri="{FF2B5EF4-FFF2-40B4-BE49-F238E27FC236}">
                <a16:creationId xmlns:a16="http://schemas.microsoft.com/office/drawing/2014/main" id="{550B9D3D-CFB0-413C-841A-9ACD01F7A01A}"/>
              </a:ext>
            </a:extLst>
          </xdr:cNvPr>
          <xdr:cNvSpPr/>
        </xdr:nvSpPr>
        <xdr:spPr>
          <a:xfrm>
            <a:off x="160020" y="830580"/>
            <a:ext cx="1752600" cy="1036320"/>
          </a:xfrm>
          <a:prstGeom prst="rect">
            <a:avLst/>
          </a:prstGeom>
          <a:solidFill>
            <a:schemeClr val="accent3">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
        <xdr:nvSpPr>
          <xdr:cNvPr id="6" name="TextBox 5">
            <a:extLst>
              <a:ext uri="{FF2B5EF4-FFF2-40B4-BE49-F238E27FC236}">
                <a16:creationId xmlns:a16="http://schemas.microsoft.com/office/drawing/2014/main" id="{B8F8D137-48E0-4B20-B9EC-FF7845E9DC82}"/>
              </a:ext>
            </a:extLst>
          </xdr:cNvPr>
          <xdr:cNvSpPr txBox="1"/>
        </xdr:nvSpPr>
        <xdr:spPr>
          <a:xfrm>
            <a:off x="259080" y="937260"/>
            <a:ext cx="1485900" cy="37338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Failure Rate</a:t>
            </a:r>
          </a:p>
        </xdr:txBody>
      </xdr:sp>
      <xdr:sp macro="" textlink="">
        <xdr:nvSpPr>
          <xdr:cNvPr id="7" name="TextBox 6">
            <a:extLst>
              <a:ext uri="{FF2B5EF4-FFF2-40B4-BE49-F238E27FC236}">
                <a16:creationId xmlns:a16="http://schemas.microsoft.com/office/drawing/2014/main" id="{056E2273-CACE-4D8B-B394-E79BDD982811}"/>
              </a:ext>
            </a:extLst>
          </xdr:cNvPr>
          <xdr:cNvSpPr txBox="1"/>
        </xdr:nvSpPr>
        <xdr:spPr>
          <a:xfrm>
            <a:off x="411480" y="1417320"/>
            <a:ext cx="1181100" cy="3429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3.39%</a:t>
            </a:r>
          </a:p>
        </xdr:txBody>
      </xdr:sp>
    </xdr:grpSp>
    <xdr:clientData/>
  </xdr:twoCellAnchor>
  <xdr:twoCellAnchor editAs="oneCell">
    <xdr:from>
      <xdr:col>0</xdr:col>
      <xdr:colOff>106680</xdr:colOff>
      <xdr:row>27</xdr:row>
      <xdr:rowOff>15240</xdr:rowOff>
    </xdr:from>
    <xdr:to>
      <xdr:col>3</xdr:col>
      <xdr:colOff>106680</xdr:colOff>
      <xdr:row>34</xdr:row>
      <xdr:rowOff>99060</xdr:rowOff>
    </xdr:to>
    <mc:AlternateContent xmlns:mc="http://schemas.openxmlformats.org/markup-compatibility/2006">
      <mc:Choice xmlns:a14="http://schemas.microsoft.com/office/drawing/2010/main" Requires="a14">
        <xdr:graphicFrame macro="">
          <xdr:nvGraphicFramePr>
            <xdr:cNvPr id="9" name="type">
              <a:extLst>
                <a:ext uri="{FF2B5EF4-FFF2-40B4-BE49-F238E27FC236}">
                  <a16:creationId xmlns:a16="http://schemas.microsoft.com/office/drawing/2014/main" id="{E3C6EC10-F244-42A6-8B87-949A4EF585E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06680" y="4953000"/>
              <a:ext cx="18288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12</xdr:row>
      <xdr:rowOff>99060</xdr:rowOff>
    </xdr:from>
    <xdr:to>
      <xdr:col>3</xdr:col>
      <xdr:colOff>129540</xdr:colOff>
      <xdr:row>26</xdr:row>
      <xdr:rowOff>5715</xdr:rowOff>
    </xdr:to>
    <mc:AlternateContent xmlns:mc="http://schemas.openxmlformats.org/markup-compatibility/2006">
      <mc:Choice xmlns:a14="http://schemas.microsoft.com/office/drawing/2010/main" Requires="a14">
        <xdr:graphicFrame macro="">
          <xdr:nvGraphicFramePr>
            <xdr:cNvPr id="10" name="failure_type">
              <a:extLst>
                <a:ext uri="{FF2B5EF4-FFF2-40B4-BE49-F238E27FC236}">
                  <a16:creationId xmlns:a16="http://schemas.microsoft.com/office/drawing/2014/main" id="{0F1DCDB8-A40B-484E-806B-0B117FD38324}"/>
                </a:ext>
              </a:extLst>
            </xdr:cNvPr>
            <xdr:cNvGraphicFramePr/>
          </xdr:nvGraphicFramePr>
          <xdr:xfrm>
            <a:off x="0" y="0"/>
            <a:ext cx="0" cy="0"/>
          </xdr:xfrm>
          <a:graphic>
            <a:graphicData uri="http://schemas.microsoft.com/office/drawing/2010/slicer">
              <sle:slicer xmlns:sle="http://schemas.microsoft.com/office/drawing/2010/slicer" name="failure_type"/>
            </a:graphicData>
          </a:graphic>
        </xdr:graphicFrame>
      </mc:Choice>
      <mc:Fallback>
        <xdr:sp macro="" textlink="">
          <xdr:nvSpPr>
            <xdr:cNvPr id="0" name=""/>
            <xdr:cNvSpPr>
              <a:spLocks noTextEdit="1"/>
            </xdr:cNvSpPr>
          </xdr:nvSpPr>
          <xdr:spPr>
            <a:xfrm>
              <a:off x="129540" y="2293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205740</xdr:colOff>
      <xdr:row>12</xdr:row>
      <xdr:rowOff>76200</xdr:rowOff>
    </xdr:from>
    <xdr:to>
      <xdr:col>9</xdr:col>
      <xdr:colOff>449580</xdr:colOff>
      <xdr:row>35</xdr:row>
      <xdr:rowOff>0</xdr:rowOff>
    </xdr:to>
    <xdr:graphicFrame macro="">
      <xdr:nvGraphicFramePr>
        <xdr:cNvPr id="12" name="Chart 11">
          <a:extLst>
            <a:ext uri="{FF2B5EF4-FFF2-40B4-BE49-F238E27FC236}">
              <a16:creationId xmlns:a16="http://schemas.microsoft.com/office/drawing/2014/main" id="{8A95B3E2-EFB3-4303-840D-A6BC9310A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396240</xdr:colOff>
      <xdr:row>12</xdr:row>
      <xdr:rowOff>106680</xdr:rowOff>
    </xdr:from>
    <xdr:to>
      <xdr:col>23</xdr:col>
      <xdr:colOff>7620</xdr:colOff>
      <xdr:row>23</xdr:row>
      <xdr:rowOff>83820</xdr:rowOff>
    </xdr:to>
    <xdr:graphicFrame macro="">
      <xdr:nvGraphicFramePr>
        <xdr:cNvPr id="13" name="Chart 12">
          <a:extLst>
            <a:ext uri="{FF2B5EF4-FFF2-40B4-BE49-F238E27FC236}">
              <a16:creationId xmlns:a16="http://schemas.microsoft.com/office/drawing/2014/main" id="{27BED99F-27A8-4F11-9D8F-7C2ABBC2B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373380</xdr:colOff>
      <xdr:row>4</xdr:row>
      <xdr:rowOff>114300</xdr:rowOff>
    </xdr:from>
    <xdr:to>
      <xdr:col>8</xdr:col>
      <xdr:colOff>289560</xdr:colOff>
      <xdr:row>10</xdr:row>
      <xdr:rowOff>53340</xdr:rowOff>
    </xdr:to>
    <xdr:grpSp>
      <xdr:nvGrpSpPr>
        <xdr:cNvPr id="14" name="Group 13">
          <a:extLst>
            <a:ext uri="{FF2B5EF4-FFF2-40B4-BE49-F238E27FC236}">
              <a16:creationId xmlns:a16="http://schemas.microsoft.com/office/drawing/2014/main" id="{8140246E-70AA-49E5-BD16-3997BF48D7CA}"/>
            </a:ext>
          </a:extLst>
        </xdr:cNvPr>
        <xdr:cNvGrpSpPr/>
      </xdr:nvGrpSpPr>
      <xdr:grpSpPr>
        <a:xfrm>
          <a:off x="3421380" y="845820"/>
          <a:ext cx="1744980" cy="1036320"/>
          <a:chOff x="160020" y="830580"/>
          <a:chExt cx="1752600" cy="1036320"/>
        </a:xfrm>
      </xdr:grpSpPr>
      <xdr:sp macro="" textlink="">
        <xdr:nvSpPr>
          <xdr:cNvPr id="15" name="Rectangle 14">
            <a:extLst>
              <a:ext uri="{FF2B5EF4-FFF2-40B4-BE49-F238E27FC236}">
                <a16:creationId xmlns:a16="http://schemas.microsoft.com/office/drawing/2014/main" id="{ECFA7731-B9C2-4E8D-9E53-3A1FFD685EE7}"/>
              </a:ext>
            </a:extLst>
          </xdr:cNvPr>
          <xdr:cNvSpPr/>
        </xdr:nvSpPr>
        <xdr:spPr>
          <a:xfrm>
            <a:off x="160020" y="830580"/>
            <a:ext cx="1752600" cy="1036320"/>
          </a:xfrm>
          <a:prstGeom prst="rect">
            <a:avLst/>
          </a:prstGeom>
          <a:solidFill>
            <a:schemeClr val="accent3">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
        <xdr:nvSpPr>
          <xdr:cNvPr id="16" name="TextBox 15">
            <a:extLst>
              <a:ext uri="{FF2B5EF4-FFF2-40B4-BE49-F238E27FC236}">
                <a16:creationId xmlns:a16="http://schemas.microsoft.com/office/drawing/2014/main" id="{114C638C-FD90-4A3E-96E0-CFFDF86E56FD}"/>
              </a:ext>
            </a:extLst>
          </xdr:cNvPr>
          <xdr:cNvSpPr txBox="1"/>
        </xdr:nvSpPr>
        <xdr:spPr>
          <a:xfrm>
            <a:off x="259080" y="937260"/>
            <a:ext cx="1592314" cy="41910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Total</a:t>
            </a:r>
            <a:r>
              <a:rPr lang="en-US" sz="1800" b="1" baseline="0"/>
              <a:t> Product</a:t>
            </a:r>
            <a:endParaRPr lang="en-US" sz="1800" b="1"/>
          </a:p>
        </xdr:txBody>
      </xdr:sp>
      <xdr:sp macro="" textlink="">
        <xdr:nvSpPr>
          <xdr:cNvPr id="17" name="TextBox 16">
            <a:extLst>
              <a:ext uri="{FF2B5EF4-FFF2-40B4-BE49-F238E27FC236}">
                <a16:creationId xmlns:a16="http://schemas.microsoft.com/office/drawing/2014/main" id="{5426DA4B-0354-4AAA-BAB8-FC9EC3490C06}"/>
              </a:ext>
            </a:extLst>
          </xdr:cNvPr>
          <xdr:cNvSpPr txBox="1"/>
        </xdr:nvSpPr>
        <xdr:spPr>
          <a:xfrm>
            <a:off x="411480" y="1417320"/>
            <a:ext cx="1181100" cy="3429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10000</a:t>
            </a:r>
          </a:p>
        </xdr:txBody>
      </xdr:sp>
    </xdr:grpSp>
    <xdr:clientData/>
  </xdr:twoCellAnchor>
  <xdr:twoCellAnchor>
    <xdr:from>
      <xdr:col>11</xdr:col>
      <xdr:colOff>480060</xdr:colOff>
      <xdr:row>4</xdr:row>
      <xdr:rowOff>121920</xdr:rowOff>
    </xdr:from>
    <xdr:to>
      <xdr:col>17</xdr:col>
      <xdr:colOff>0</xdr:colOff>
      <xdr:row>10</xdr:row>
      <xdr:rowOff>60960</xdr:rowOff>
    </xdr:to>
    <xdr:grpSp>
      <xdr:nvGrpSpPr>
        <xdr:cNvPr id="18" name="Group 17">
          <a:extLst>
            <a:ext uri="{FF2B5EF4-FFF2-40B4-BE49-F238E27FC236}">
              <a16:creationId xmlns:a16="http://schemas.microsoft.com/office/drawing/2014/main" id="{3363EEB5-7EB9-43E5-859F-59038B3BB78C}"/>
            </a:ext>
          </a:extLst>
        </xdr:cNvPr>
        <xdr:cNvGrpSpPr/>
      </xdr:nvGrpSpPr>
      <xdr:grpSpPr>
        <a:xfrm>
          <a:off x="7185660" y="853440"/>
          <a:ext cx="3177540" cy="1036320"/>
          <a:chOff x="160020" y="830580"/>
          <a:chExt cx="1752600" cy="1036320"/>
        </a:xfrm>
      </xdr:grpSpPr>
      <xdr:sp macro="" textlink="">
        <xdr:nvSpPr>
          <xdr:cNvPr id="19" name="Rectangle 18">
            <a:extLst>
              <a:ext uri="{FF2B5EF4-FFF2-40B4-BE49-F238E27FC236}">
                <a16:creationId xmlns:a16="http://schemas.microsoft.com/office/drawing/2014/main" id="{12F1C26B-8F0E-4730-A967-724BD0B4EE08}"/>
              </a:ext>
            </a:extLst>
          </xdr:cNvPr>
          <xdr:cNvSpPr/>
        </xdr:nvSpPr>
        <xdr:spPr>
          <a:xfrm>
            <a:off x="160020" y="830580"/>
            <a:ext cx="1752600" cy="1036320"/>
          </a:xfrm>
          <a:prstGeom prst="rect">
            <a:avLst/>
          </a:prstGeom>
          <a:solidFill>
            <a:schemeClr val="accent3">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
        <xdr:nvSpPr>
          <xdr:cNvPr id="20" name="TextBox 19">
            <a:extLst>
              <a:ext uri="{FF2B5EF4-FFF2-40B4-BE49-F238E27FC236}">
                <a16:creationId xmlns:a16="http://schemas.microsoft.com/office/drawing/2014/main" id="{F9E47ED0-9669-45A7-9563-4C7943F1B9D0}"/>
              </a:ext>
            </a:extLst>
          </xdr:cNvPr>
          <xdr:cNvSpPr txBox="1"/>
        </xdr:nvSpPr>
        <xdr:spPr>
          <a:xfrm>
            <a:off x="330529" y="883920"/>
            <a:ext cx="1494972" cy="40386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t>
            </a:r>
            <a:r>
              <a:rPr lang="en-US" sz="2400" b="1"/>
              <a:t>Top Failure Reason</a:t>
            </a:r>
            <a:endParaRPr lang="en-US" sz="1800" b="1"/>
          </a:p>
        </xdr:txBody>
      </xdr:sp>
      <xdr:sp macro="" textlink="">
        <xdr:nvSpPr>
          <xdr:cNvPr id="21" name="TextBox 20">
            <a:extLst>
              <a:ext uri="{FF2B5EF4-FFF2-40B4-BE49-F238E27FC236}">
                <a16:creationId xmlns:a16="http://schemas.microsoft.com/office/drawing/2014/main" id="{2DAA82F5-F0F6-4974-89AC-9F446A5E5071}"/>
              </a:ext>
            </a:extLst>
          </xdr:cNvPr>
          <xdr:cNvSpPr txBox="1"/>
        </xdr:nvSpPr>
        <xdr:spPr>
          <a:xfrm>
            <a:off x="453509" y="1386840"/>
            <a:ext cx="1236359" cy="40386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Heat Dissipation Failure</a:t>
            </a:r>
          </a:p>
        </xdr:txBody>
      </xdr:sp>
    </xdr:grpSp>
    <xdr:clientData/>
  </xdr:twoCellAnchor>
  <xdr:twoCellAnchor>
    <xdr:from>
      <xdr:col>17</xdr:col>
      <xdr:colOff>198120</xdr:colOff>
      <xdr:row>4</xdr:row>
      <xdr:rowOff>121920</xdr:rowOff>
    </xdr:from>
    <xdr:to>
      <xdr:col>22</xdr:col>
      <xdr:colOff>198119</xdr:colOff>
      <xdr:row>10</xdr:row>
      <xdr:rowOff>60960</xdr:rowOff>
    </xdr:to>
    <xdr:grpSp>
      <xdr:nvGrpSpPr>
        <xdr:cNvPr id="22" name="Group 21">
          <a:extLst>
            <a:ext uri="{FF2B5EF4-FFF2-40B4-BE49-F238E27FC236}">
              <a16:creationId xmlns:a16="http://schemas.microsoft.com/office/drawing/2014/main" id="{B8347899-6FFA-4C5A-A8F1-E953F9E0966A}"/>
            </a:ext>
          </a:extLst>
        </xdr:cNvPr>
        <xdr:cNvGrpSpPr/>
      </xdr:nvGrpSpPr>
      <xdr:grpSpPr>
        <a:xfrm>
          <a:off x="10561320" y="853440"/>
          <a:ext cx="3047999" cy="1036320"/>
          <a:chOff x="160020" y="830580"/>
          <a:chExt cx="1959149" cy="1036320"/>
        </a:xfrm>
      </xdr:grpSpPr>
      <xdr:sp macro="" textlink="">
        <xdr:nvSpPr>
          <xdr:cNvPr id="23" name="Rectangle 22">
            <a:extLst>
              <a:ext uri="{FF2B5EF4-FFF2-40B4-BE49-F238E27FC236}">
                <a16:creationId xmlns:a16="http://schemas.microsoft.com/office/drawing/2014/main" id="{5E68611C-FC9D-4AB3-BFD2-C849F4F5EB64}"/>
              </a:ext>
            </a:extLst>
          </xdr:cNvPr>
          <xdr:cNvSpPr/>
        </xdr:nvSpPr>
        <xdr:spPr>
          <a:xfrm>
            <a:off x="160020" y="830580"/>
            <a:ext cx="1959149" cy="1036320"/>
          </a:xfrm>
          <a:prstGeom prst="rect">
            <a:avLst/>
          </a:prstGeom>
          <a:solidFill>
            <a:schemeClr val="accent3">
              <a:lumMod val="20000"/>
              <a:lumOff val="8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
        <xdr:nvSpPr>
          <xdr:cNvPr id="24" name="TextBox 23">
            <a:extLst>
              <a:ext uri="{FF2B5EF4-FFF2-40B4-BE49-F238E27FC236}">
                <a16:creationId xmlns:a16="http://schemas.microsoft.com/office/drawing/2014/main" id="{9C9CB395-C5F3-41A3-99AD-D8360EDB5F3E}"/>
              </a:ext>
            </a:extLst>
          </xdr:cNvPr>
          <xdr:cNvSpPr txBox="1"/>
        </xdr:nvSpPr>
        <xdr:spPr>
          <a:xfrm>
            <a:off x="259079" y="937260"/>
            <a:ext cx="1722950" cy="373380"/>
          </a:xfrm>
          <a:prstGeom prst="rect">
            <a:avLst/>
          </a:prstGeom>
          <a:solidFill>
            <a:schemeClr val="accent3">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Avg Tool</a:t>
            </a:r>
            <a:r>
              <a:rPr lang="en-US" sz="1800" b="1" baseline="0"/>
              <a:t> wear per MIN</a:t>
            </a:r>
            <a:endParaRPr lang="en-US" sz="1800" b="1"/>
          </a:p>
        </xdr:txBody>
      </xdr:sp>
      <xdr:sp macro="" textlink="">
        <xdr:nvSpPr>
          <xdr:cNvPr id="25" name="TextBox 24">
            <a:extLst>
              <a:ext uri="{FF2B5EF4-FFF2-40B4-BE49-F238E27FC236}">
                <a16:creationId xmlns:a16="http://schemas.microsoft.com/office/drawing/2014/main" id="{EBBD6B9D-A9F4-474E-B7F9-03BD99F05BF5}"/>
              </a:ext>
            </a:extLst>
          </xdr:cNvPr>
          <xdr:cNvSpPr txBox="1"/>
        </xdr:nvSpPr>
        <xdr:spPr>
          <a:xfrm>
            <a:off x="733072" y="1402080"/>
            <a:ext cx="808149" cy="3429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107</a:t>
            </a:r>
          </a:p>
        </xdr:txBody>
      </xdr:sp>
    </xdr:grpSp>
    <xdr:clientData/>
  </xdr:twoCellAnchor>
  <xdr:twoCellAnchor editAs="oneCell">
    <xdr:from>
      <xdr:col>0</xdr:col>
      <xdr:colOff>121920</xdr:colOff>
      <xdr:row>4</xdr:row>
      <xdr:rowOff>45719</xdr:rowOff>
    </xdr:from>
    <xdr:to>
      <xdr:col>5</xdr:col>
      <xdr:colOff>243840</xdr:colOff>
      <xdr:row>12</xdr:row>
      <xdr:rowOff>0</xdr:rowOff>
    </xdr:to>
    <xdr:pic>
      <xdr:nvPicPr>
        <xdr:cNvPr id="27" name="Picture 26">
          <a:extLst>
            <a:ext uri="{FF2B5EF4-FFF2-40B4-BE49-F238E27FC236}">
              <a16:creationId xmlns:a16="http://schemas.microsoft.com/office/drawing/2014/main" id="{5AACAC1A-2DA7-4BDB-8798-57E7859D9695}"/>
            </a:ext>
          </a:extLst>
        </xdr:cNvPr>
        <xdr:cNvPicPr>
          <a:picLocks noChangeAspect="1"/>
        </xdr:cNvPicPr>
      </xdr:nvPicPr>
      <xdr:blipFill>
        <a:blip xmlns:r="http://schemas.openxmlformats.org/officeDocument/2006/relationships" r:embed="rId3"/>
        <a:stretch>
          <a:fillRect/>
        </a:stretch>
      </xdr:blipFill>
      <xdr:spPr>
        <a:xfrm>
          <a:off x="121920" y="777239"/>
          <a:ext cx="3169920" cy="1417321"/>
        </a:xfrm>
        <a:prstGeom prst="rect">
          <a:avLst/>
        </a:prstGeom>
      </xdr:spPr>
    </xdr:pic>
    <xdr:clientData/>
  </xdr:twoCellAnchor>
  <xdr:twoCellAnchor>
    <xdr:from>
      <xdr:col>10</xdr:col>
      <xdr:colOff>0</xdr:colOff>
      <xdr:row>24</xdr:row>
      <xdr:rowOff>22860</xdr:rowOff>
    </xdr:from>
    <xdr:to>
      <xdr:col>22</xdr:col>
      <xdr:colOff>579120</xdr:colOff>
      <xdr:row>35</xdr:row>
      <xdr:rowOff>15240</xdr:rowOff>
    </xdr:to>
    <xdr:graphicFrame macro="">
      <xdr:nvGraphicFramePr>
        <xdr:cNvPr id="28" name="Chart 27">
          <a:extLst>
            <a:ext uri="{FF2B5EF4-FFF2-40B4-BE49-F238E27FC236}">
              <a16:creationId xmlns:a16="http://schemas.microsoft.com/office/drawing/2014/main" id="{FF645EF3-3B61-451D-B800-63BB177BD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601980</xdr:colOff>
      <xdr:row>12</xdr:row>
      <xdr:rowOff>106680</xdr:rowOff>
    </xdr:from>
    <xdr:to>
      <xdr:col>17</xdr:col>
      <xdr:colOff>297180</xdr:colOff>
      <xdr:row>23</xdr:row>
      <xdr:rowOff>68580</xdr:rowOff>
    </xdr:to>
    <xdr:graphicFrame macro="">
      <xdr:nvGraphicFramePr>
        <xdr:cNvPr id="29" name="Chart 28">
          <a:extLst>
            <a:ext uri="{FF2B5EF4-FFF2-40B4-BE49-F238E27FC236}">
              <a16:creationId xmlns:a16="http://schemas.microsoft.com/office/drawing/2014/main" id="{CE677B18-2918-4955-9117-3E29CBE5E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1.953841898146" createdVersion="7" refreshedVersion="7" minRefreshableVersion="3" recordCount="5" xr:uid="{0EA2DB56-0DB7-484A-9025-34F5C8D02A8B}">
  <cacheSource type="worksheet">
    <worksheetSource name="failure_type"/>
  </cacheSource>
  <cacheFields count="2">
    <cacheField name="total_failures" numFmtId="0">
      <sharedItems containsSemiMixedTypes="0" containsString="0" containsNumber="1" containsInteger="1" minValue="9" maxValue="112" count="5">
        <n v="112"/>
        <n v="9"/>
        <n v="78"/>
        <n v="95"/>
        <n v="45"/>
      </sharedItems>
    </cacheField>
    <cacheField name="failure_type" numFmtId="49">
      <sharedItems count="5">
        <s v="Heat Dissipation Failure"/>
        <s v="No Failure"/>
        <s v="Overstrain Failure"/>
        <s v="Power Failure"/>
        <s v="Tool Wear Failur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1.95855127315" createdVersion="7" refreshedVersion="7" minRefreshableVersion="3" recordCount="3" xr:uid="{1B47D205-2694-48CB-AC13-413BF2DC57FF}">
  <cacheSource type="worksheet">
    <worksheetSource name="Table4"/>
  </cacheSource>
  <cacheFields count="3">
    <cacheField name="P_TUYPE" numFmtId="0">
      <sharedItems count="3">
        <s v="H"/>
        <s v="L"/>
        <s v="M"/>
      </sharedItems>
    </cacheField>
    <cacheField name="persentage" numFmtId="0">
      <sharedItems containsSemiMixedTypes="0" containsString="0" containsNumber="1" minValue="2.3900000000000001E-2" maxValue="4.0500000000000001E-2"/>
    </cacheField>
    <cacheField name="failuer" numFmtId="0">
      <sharedItems containsSemiMixedTypes="0" containsString="0" containsNumber="1" containsInteger="1" minValue="21" maxValue="2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1.969880902776" createdVersion="7" refreshedVersion="7" minRefreshableVersion="3" recordCount="2" xr:uid="{09EE3946-547D-44ED-919B-FB6B00F7D35E}">
  <cacheSource type="worksheet">
    <worksheetSource name="Table3"/>
  </cacheSource>
  <cacheFields count="6">
    <cacheField name="status" numFmtId="0">
      <sharedItems count="2">
        <s v="Normal"/>
        <s v="Problem"/>
      </sharedItems>
    </cacheField>
    <cacheField name="total_rows" numFmtId="0">
      <sharedItems containsSemiMixedTypes="0" containsString="0" containsNumber="1" containsInteger="1" minValue="348" maxValue="9652"/>
    </cacheField>
    <cacheField name="avg_process_temp" numFmtId="0">
      <sharedItems containsSemiMixedTypes="0" containsString="0" containsNumber="1" minValue="309.99434314131787" maxValue="310.31666666666666" count="2">
        <n v="309.99434314131787"/>
        <n v="310.31666666666666"/>
      </sharedItems>
    </cacheField>
    <cacheField name="avg_air_temp" numFmtId="0">
      <sharedItems containsSemiMixedTypes="0" containsString="0" containsNumber="1" minValue="299.97285536676338" maxValue="300.89454022988508" count="2">
        <n v="299.97285536676338"/>
        <n v="300.89454022988508"/>
      </sharedItems>
    </cacheField>
    <cacheField name="avg_speed" numFmtId="0">
      <sharedItems containsSemiMixedTypes="0" containsString="0" containsNumber="1" minValue="1495.8333333333333" maxValue="1540.3243887277249" count="2">
        <n v="1540.3243887277249"/>
        <n v="1495.8333333333333"/>
      </sharedItems>
    </cacheField>
    <cacheField name="avg_torque" numFmtId="0">
      <sharedItems containsSemiMixedTypes="0" containsString="0" containsNumber="1" minValue="39.624316203895567" maxValue="50.043678160919541" count="2">
        <n v="39.624316203895567"/>
        <n v="50.043678160919541"/>
      </sharedItems>
    </cacheField>
  </cacheFields>
  <extLst>
    <ext xmlns:x14="http://schemas.microsoft.com/office/spreadsheetml/2009/9/main" uri="{725AE2AE-9491-48be-B2B4-4EB974FC3084}">
      <x14:pivotCacheDefinition pivotCacheId="26752271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1.973726157405" createdVersion="7" refreshedVersion="7" minRefreshableVersion="3" recordCount="6" xr:uid="{C8EB1CDC-753E-45BE-A7E3-EFE0147C07DD}">
  <cacheSource type="worksheet">
    <worksheetSource name="Table2"/>
  </cacheSource>
  <cacheFields count="6">
    <cacheField name="failure_type" numFmtId="0">
      <sharedItems count="6">
        <s v="No Failure"/>
        <s v="Heat Dissipation Failure"/>
        <s v="Power Failure"/>
        <s v="Overstrain Failure"/>
        <s v="Tool Wear Failure"/>
        <s v="Random Failures"/>
      </sharedItems>
    </cacheField>
    <cacheField name="total_failures" numFmtId="0">
      <sharedItems containsSemiMixedTypes="0" containsString="0" containsNumber="1" containsInteger="1" minValue="18" maxValue="9652"/>
    </cacheField>
    <cacheField name="avg_process_temp" numFmtId="0">
      <sharedItems containsSemiMixedTypes="0" containsString="0" containsNumber="1" minValue="309.95473684210526" maxValue="310.79910714285717"/>
    </cacheField>
    <cacheField name="avg_air_temp" numFmtId="0">
      <sharedItems containsSemiMixedTypes="0" containsString="0" containsNumber="1" minValue="299.86794871794871" maxValue="302.56785714285712" count="6">
        <n v="299.97285536676338"/>
        <n v="302.56785714285712"/>
        <n v="300.07578947368421"/>
        <n v="299.86794871794871"/>
        <n v="300.28888888888889"/>
        <n v="300.76666666666665"/>
      </sharedItems>
    </cacheField>
    <cacheField name="avg_speed" numFmtId="0">
      <sharedItems containsSemiMixedTypes="0" containsString="0" containsNumber="1" minValue="1337.9642857142858" maxValue="1763.9684210526316" count="6">
        <n v="1540.3243887277249"/>
        <n v="1337.9642857142858"/>
        <n v="1763.9684210526316"/>
        <n v="1354.2435897435898"/>
        <n v="1570.6666666666667"/>
        <n v="1489.4444444444443"/>
      </sharedItems>
    </cacheField>
    <cacheField name="avg_torque" numFmtId="0">
      <sharedItems containsSemiMixedTypes="0" containsString="0" containsNumber="1" minValue="37.226666666666667" maxValue="56.878205128205131"/>
    </cacheField>
  </cacheFields>
  <extLst>
    <ext xmlns:x14="http://schemas.microsoft.com/office/spreadsheetml/2009/9/main" uri="{725AE2AE-9491-48be-B2B4-4EB974FC3084}">
      <x14:pivotCacheDefinition pivotCacheId="175628854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2.673193287039" createdVersion="7" refreshedVersion="7" minRefreshableVersion="3" recordCount="15" xr:uid="{2468ADA4-14F4-476C-B3B9-CA269054301C}">
  <cacheSource type="worksheet">
    <worksheetSource name="Table5"/>
  </cacheSource>
  <cacheFields count="3">
    <cacheField name="type" numFmtId="0">
      <sharedItems count="3">
        <s v="H"/>
        <s v="L"/>
        <s v="M"/>
      </sharedItems>
    </cacheField>
    <cacheField name="failure_type" numFmtId="0">
      <sharedItems count="5">
        <s v="Heat Dissipation Failure"/>
        <s v="Tool Wear Failure"/>
        <s v="Power Failure"/>
        <s v="Random Failures"/>
        <s v="Overstrain Failure"/>
      </sharedItems>
    </cacheField>
    <cacheField name="total_failures" numFmtId="0">
      <sharedItems containsSemiMixedTypes="0" containsString="0" containsNumber="1" containsInteger="1" minValue="1" maxValue="74"/>
    </cacheField>
  </cacheFields>
  <extLst>
    <ext xmlns:x14="http://schemas.microsoft.com/office/spreadsheetml/2009/9/main" uri="{725AE2AE-9491-48be-B2B4-4EB974FC3084}">
      <x14:pivotCacheDefinition pivotCacheId="33618907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2.729564467591" createdVersion="7" refreshedVersion="7" minRefreshableVersion="3" recordCount="3" xr:uid="{1C534EBB-DC34-49A5-B958-2F761A5764BA}">
  <cacheSource type="worksheet">
    <worksheetSource name="Table6"/>
  </cacheSource>
  <cacheFields count="2">
    <cacheField name="avg_ToolWear" numFmtId="0">
      <sharedItems containsSemiMixedTypes="0" containsString="0" containsNumber="1" containsInteger="1" minValue="107" maxValue="108" count="2">
        <n v="107"/>
        <n v="108"/>
      </sharedItems>
    </cacheField>
    <cacheField name="TYPE" numFmtId="0">
      <sharedItems count="3">
        <s v="H"/>
        <s v="L"/>
        <s v="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92.738389583334" createdVersion="7" refreshedVersion="7" minRefreshableVersion="3" recordCount="6" xr:uid="{41FF45B8-EFC7-4417-9133-DF53DE2512A7}">
  <cacheSource type="worksheet">
    <worksheetSource name="Table7"/>
  </cacheSource>
  <cacheFields count="6">
    <cacheField name="failure_type" numFmtId="0">
      <sharedItems count="6">
        <s v="No Failure"/>
        <s v="Heat Dissipation Failure"/>
        <s v="Power Failure"/>
        <s v="Overstrain Failure"/>
        <s v="Tool Wear Failure"/>
        <s v="Random Failures"/>
      </sharedItems>
    </cacheField>
    <cacheField name="total_failures" numFmtId="0">
      <sharedItems containsSemiMixedTypes="0" containsString="0" containsNumber="1" containsInteger="1" minValue="18" maxValue="9652"/>
    </cacheField>
    <cacheField name="min_process_temp" numFmtId="0">
      <sharedItems containsSemiMixedTypes="0" containsString="0" containsNumber="1" minValue="305.70001220703102" maxValue="309.39999389648398"/>
    </cacheField>
    <cacheField name="min_air_temp" numFmtId="0">
      <sharedItems containsSemiMixedTypes="0" containsString="0" containsNumber="1" minValue="295.29998779296898" maxValue="300.79998779296898"/>
    </cacheField>
    <cacheField name="min_speed" numFmtId="0">
      <sharedItems containsSemiMixedTypes="0" containsString="0" containsNumber="1" containsInteger="1" minValue="1168" maxValue="1323"/>
    </cacheField>
    <cacheField name="min_torque" numFmtId="0">
      <sharedItems containsSemiMixedTypes="0" containsString="0" containsNumber="1" minValue="3.7999999523162802" maxValue="46.2999992370604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3900000000000001E-2"/>
    <n v="21"/>
  </r>
  <r>
    <x v="1"/>
    <n v="4.0500000000000001E-2"/>
    <n v="235"/>
  </r>
  <r>
    <x v="2"/>
    <n v="2.7029999999999998E-2"/>
    <n v="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9652"/>
    <x v="0"/>
    <x v="0"/>
    <x v="0"/>
    <x v="0"/>
  </r>
  <r>
    <x v="1"/>
    <n v="348"/>
    <x v="1"/>
    <x v="1"/>
    <x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9652"/>
    <n v="309.99434314131787"/>
    <x v="0"/>
    <x v="0"/>
    <n v="39.624316203895567"/>
  </r>
  <r>
    <x v="1"/>
    <n v="112"/>
    <n v="310.79910714285717"/>
    <x v="1"/>
    <x v="1"/>
    <n v="52.778571428571425"/>
  </r>
  <r>
    <x v="2"/>
    <n v="95"/>
    <n v="309.95473684210526"/>
    <x v="2"/>
    <x v="2"/>
    <n v="48.514736842105258"/>
  </r>
  <r>
    <x v="3"/>
    <n v="78"/>
    <n v="310.05128205128204"/>
    <x v="3"/>
    <x v="3"/>
    <n v="56.878205128205131"/>
  </r>
  <r>
    <x v="4"/>
    <n v="45"/>
    <n v="310.16444444444443"/>
    <x v="4"/>
    <x v="4"/>
    <n v="37.226666666666667"/>
  </r>
  <r>
    <x v="5"/>
    <n v="18"/>
    <n v="310.75555555555559"/>
    <x v="5"/>
    <x v="5"/>
    <n v="43.52222222222221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8"/>
  </r>
  <r>
    <x v="0"/>
    <x v="1"/>
    <n v="6"/>
  </r>
  <r>
    <x v="0"/>
    <x v="2"/>
    <n v="5"/>
  </r>
  <r>
    <x v="0"/>
    <x v="3"/>
    <n v="4"/>
  </r>
  <r>
    <x v="0"/>
    <x v="4"/>
    <n v="1"/>
  </r>
  <r>
    <x v="1"/>
    <x v="0"/>
    <n v="74"/>
  </r>
  <r>
    <x v="1"/>
    <x v="4"/>
    <n v="73"/>
  </r>
  <r>
    <x v="1"/>
    <x v="2"/>
    <n v="59"/>
  </r>
  <r>
    <x v="1"/>
    <x v="1"/>
    <n v="25"/>
  </r>
  <r>
    <x v="1"/>
    <x v="3"/>
    <n v="12"/>
  </r>
  <r>
    <x v="2"/>
    <x v="2"/>
    <n v="31"/>
  </r>
  <r>
    <x v="2"/>
    <x v="0"/>
    <n v="30"/>
  </r>
  <r>
    <x v="2"/>
    <x v="1"/>
    <n v="14"/>
  </r>
  <r>
    <x v="2"/>
    <x v="4"/>
    <n v="4"/>
  </r>
  <r>
    <x v="2"/>
    <x v="3"/>
    <n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0"/>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9652"/>
    <n v="305.70001220703102"/>
    <n v="295.29998779296898"/>
    <n v="1168"/>
    <n v="12.6000003814697"/>
  </r>
  <r>
    <x v="1"/>
    <n v="112"/>
    <n v="309.39999389648398"/>
    <n v="300.79998779296898"/>
    <n v="1212"/>
    <n v="41.599998474121101"/>
  </r>
  <r>
    <x v="2"/>
    <n v="95"/>
    <n v="306.20001220703102"/>
    <n v="295.70001220703102"/>
    <n v="1200"/>
    <n v="3.7999999523162802"/>
  </r>
  <r>
    <x v="3"/>
    <n v="78"/>
    <n v="306.10000610351602"/>
    <n v="295.60000610351602"/>
    <n v="1181"/>
    <n v="46.299999237060497"/>
  </r>
  <r>
    <x v="4"/>
    <n v="45"/>
    <n v="307.39999389648398"/>
    <n v="296.89999389648398"/>
    <n v="1323"/>
    <n v="16.200000762939499"/>
  </r>
  <r>
    <x v="5"/>
    <n v="18"/>
    <n v="307.70001220703102"/>
    <n v="297"/>
    <n v="1306"/>
    <n v="27.7000007629394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A5870-68E1-44A2-89E5-D6A72803854D}" name="PivotTable4" cacheId="16"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B33:D38" firstHeaderRow="0" firstDataRow="1" firstDataCol="1"/>
  <pivotFields count="6">
    <pivotField axis="axisRow" showAll="0">
      <items count="7">
        <item x="1"/>
        <item h="1" x="0"/>
        <item x="3"/>
        <item x="2"/>
        <item x="5"/>
        <item x="4"/>
        <item t="default"/>
      </items>
    </pivotField>
    <pivotField showAll="0"/>
    <pivotField dataField="1" showAll="0"/>
    <pivotField dataField="1" showAll="0"/>
    <pivotField showAll="0"/>
    <pivotField showAll="0"/>
  </pivotFields>
  <rowFields count="1">
    <field x="0"/>
  </rowFields>
  <rowItems count="5">
    <i>
      <x/>
    </i>
    <i>
      <x v="2"/>
    </i>
    <i>
      <x v="3"/>
    </i>
    <i>
      <x v="4"/>
    </i>
    <i>
      <x v="5"/>
    </i>
  </rowItems>
  <colFields count="1">
    <field x="-2"/>
  </colFields>
  <colItems count="2">
    <i>
      <x/>
    </i>
    <i i="1">
      <x v="1"/>
    </i>
  </colItems>
  <dataFields count="2">
    <dataField name="process_temp " fld="2" baseField="0" baseItem="0"/>
    <dataField name="air_temp" fld="3" baseField="0" baseItem="0"/>
  </dataFields>
  <formats count="1">
    <format dxfId="0">
      <pivotArea collapsedLevelsAreSubtotals="1" fieldPosition="0">
        <references count="1">
          <reference field="0" count="0"/>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2A9355-8FA8-4D78-8D0A-800C64A5681F}" name="PivotTable3"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L29:M33" firstHeaderRow="1" firstDataRow="1" firstDataCol="1"/>
  <pivotFields count="2">
    <pivotField dataField="1" showAll="0">
      <items count="3">
        <item x="0"/>
        <item x="1"/>
        <item t="default"/>
      </items>
    </pivotField>
    <pivotField axis="axisRow" showAll="0">
      <items count="4">
        <item x="0"/>
        <item x="1"/>
        <item x="2"/>
        <item t="default"/>
      </items>
    </pivotField>
  </pivotFields>
  <rowFields count="1">
    <field x="1"/>
  </rowFields>
  <rowItems count="4">
    <i>
      <x/>
    </i>
    <i>
      <x v="1"/>
    </i>
    <i>
      <x v="2"/>
    </i>
    <i t="grand">
      <x/>
    </i>
  </rowItems>
  <colItems count="1">
    <i/>
  </colItems>
  <dataFields count="1">
    <dataField name="AVG TOOL WEAR" fld="0"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F50C7B-B932-4317-8DD3-AC8E757E48B4}"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4:K21" firstHeaderRow="1" firstDataRow="2" firstDataCol="1"/>
  <pivotFields count="3">
    <pivotField axis="axisCol" showAll="0">
      <items count="4">
        <item x="0"/>
        <item x="1"/>
        <item x="2"/>
        <item t="default"/>
      </items>
    </pivotField>
    <pivotField axis="axisRow" showAll="0">
      <items count="6">
        <item x="0"/>
        <item x="4"/>
        <item x="2"/>
        <item x="3"/>
        <item x="1"/>
        <item t="default"/>
      </items>
    </pivotField>
    <pivotField dataField="1" showAll="0"/>
  </pivotFields>
  <rowFields count="1">
    <field x="1"/>
  </rowFields>
  <rowItems count="6">
    <i>
      <x/>
    </i>
    <i>
      <x v="1"/>
    </i>
    <i>
      <x v="2"/>
    </i>
    <i>
      <x v="3"/>
    </i>
    <i>
      <x v="4"/>
    </i>
    <i t="grand">
      <x/>
    </i>
  </rowItems>
  <colFields count="1">
    <field x="0"/>
  </colFields>
  <colItems count="4">
    <i>
      <x/>
    </i>
    <i>
      <x v="1"/>
    </i>
    <i>
      <x v="2"/>
    </i>
    <i t="grand">
      <x/>
    </i>
  </colItems>
  <dataFields count="1">
    <dataField name="Sum of total_failur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C8BFE5-96DA-4206-8466-41E97FCCAB76}" name="PivotTable2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5:D26" firstHeaderRow="0" firstDataRow="1" firstDataCol="0"/>
  <pivotFields count="6">
    <pivotField showAll="0">
      <items count="7">
        <item h="1" x="1"/>
        <item h="1" x="0"/>
        <item h="1" x="3"/>
        <item x="2"/>
        <item h="1" x="5"/>
        <item h="1" x="4"/>
        <item t="default"/>
      </items>
    </pivotField>
    <pivotField showAll="0"/>
    <pivotField dataField="1" showAll="0"/>
    <pivotField dataField="1" showAll="0">
      <items count="7">
        <item x="3"/>
        <item x="0"/>
        <item x="2"/>
        <item x="4"/>
        <item x="5"/>
        <item x="1"/>
        <item t="default"/>
      </items>
    </pivotField>
    <pivotField dataField="1" showAll="0">
      <items count="7">
        <item x="1"/>
        <item x="3"/>
        <item x="5"/>
        <item x="0"/>
        <item x="4"/>
        <item x="2"/>
        <item t="default"/>
      </items>
    </pivotField>
    <pivotField dataField="1" showAll="0"/>
  </pivotFields>
  <rowItems count="1">
    <i/>
  </rowItems>
  <colFields count="1">
    <field x="-2"/>
  </colFields>
  <colItems count="4">
    <i>
      <x/>
    </i>
    <i i="1">
      <x v="1"/>
    </i>
    <i i="2">
      <x v="2"/>
    </i>
    <i i="3">
      <x v="3"/>
    </i>
  </colItems>
  <dataFields count="4">
    <dataField name="Sum of avg_process_temp" fld="2" baseField="0" baseItem="0" numFmtId="165"/>
    <dataField name="Sum of avg_air_temp" fld="3" baseField="0" baseItem="0" numFmtId="165"/>
    <dataField name="Sum of avg_speed" fld="4" baseField="0" baseItem="0"/>
    <dataField name="Sum of avg_torque" fld="5" baseField="0" baseItem="0"/>
  </dataFields>
  <formats count="3">
    <format dxfId="3">
      <pivotArea outline="0" collapsedLevelsAreSubtotals="1" fieldPosition="0"/>
    </format>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C83049-775E-407F-8B2D-1B3C10ED3F72}" name="PivotTable2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3:H4" firstHeaderRow="0" firstDataRow="1" firstDataCol="0"/>
  <pivotFields count="6">
    <pivotField showAll="0">
      <items count="3">
        <item x="0"/>
        <item h="1" x="1"/>
        <item t="default"/>
      </items>
    </pivotField>
    <pivotField showAll="0"/>
    <pivotField dataField="1" showAll="0">
      <items count="3">
        <item x="0"/>
        <item x="1"/>
        <item t="default"/>
      </items>
    </pivotField>
    <pivotField dataField="1" showAll="0">
      <items count="3">
        <item x="0"/>
        <item x="1"/>
        <item t="default"/>
      </items>
    </pivotField>
    <pivotField dataField="1" showAll="0">
      <items count="3">
        <item x="1"/>
        <item x="0"/>
        <item t="default"/>
      </items>
    </pivotField>
    <pivotField dataField="1" showAll="0">
      <items count="3">
        <item x="0"/>
        <item x="1"/>
        <item t="default"/>
      </items>
    </pivotField>
  </pivotFields>
  <rowItems count="1">
    <i/>
  </rowItems>
  <colFields count="1">
    <field x="-2"/>
  </colFields>
  <colItems count="4">
    <i>
      <x/>
    </i>
    <i i="1">
      <x v="1"/>
    </i>
    <i i="2">
      <x v="2"/>
    </i>
    <i i="3">
      <x v="3"/>
    </i>
  </colItems>
  <dataFields count="4">
    <dataField name="Sum of avg_air_temp" fld="3" baseField="0" baseItem="0"/>
    <dataField name="Sum of avg_process_temp" fld="2" baseField="0" baseItem="0"/>
    <dataField name="Sum of avg_speed" fld="4" baseField="0" baseItem="0"/>
    <dataField name="Sum of avg_torque" fld="5"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108914-90FC-4058-AD18-633B2D570E02}" name="PivotTable2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Product Type">
  <location ref="A16:B20" firstHeaderRow="1" firstDataRow="1" firstDataCol="1"/>
  <pivotFields count="3">
    <pivotField axis="axisRow" showAll="0">
      <items count="4">
        <item x="0"/>
        <item x="1"/>
        <item x="2"/>
        <item t="default"/>
      </items>
    </pivotField>
    <pivotField dataField="1" showAll="0"/>
    <pivotField showAll="0"/>
  </pivotFields>
  <rowFields count="1">
    <field x="0"/>
  </rowFields>
  <rowItems count="4">
    <i>
      <x/>
    </i>
    <i>
      <x v="1"/>
    </i>
    <i>
      <x v="2"/>
    </i>
    <i t="grand">
      <x/>
    </i>
  </rowItems>
  <colItems count="1">
    <i/>
  </colItems>
  <dataFields count="1">
    <dataField name="Percentage of Failure" fld="1" showDataAs="percentOfTotal" baseField="0" baseItem="0" numFmtId="10"/>
  </dataFields>
  <formats count="1">
    <format dxfId="5">
      <pivotArea collapsedLevelsAreSubtotals="1" fieldPosition="0">
        <references count="1">
          <reference field="0" count="0"/>
        </references>
      </pivotArea>
    </format>
  </format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2D0DFC-3613-4959-8C23-B207157A8CC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2">
    <pivotField dataField="1" showAll="0">
      <items count="6">
        <item x="1"/>
        <item x="4"/>
        <item x="2"/>
        <item x="3"/>
        <item x="0"/>
        <item t="default"/>
      </items>
    </pivotField>
    <pivotField axis="axisRow" showAll="0" sortType="ascending">
      <items count="6">
        <item x="0"/>
        <item x="1"/>
        <item x="2"/>
        <item x="3"/>
        <item x="4"/>
        <item t="default"/>
      </items>
      <autoSortScope>
        <pivotArea dataOnly="0" outline="0" fieldPosition="0">
          <references count="1">
            <reference field="4294967294" count="1" selected="0">
              <x v="0"/>
            </reference>
          </references>
        </pivotArea>
      </autoSortScope>
    </pivotField>
  </pivotFields>
  <rowFields count="1">
    <field x="1"/>
  </rowFields>
  <rowItems count="6">
    <i>
      <x v="1"/>
    </i>
    <i>
      <x v="4"/>
    </i>
    <i>
      <x v="2"/>
    </i>
    <i>
      <x v="3"/>
    </i>
    <i>
      <x/>
    </i>
    <i t="grand">
      <x/>
    </i>
  </rowItems>
  <colItems count="1">
    <i/>
  </colItems>
  <dataFields count="1">
    <dataField name="Sum of total_failures" fld="0" baseField="0" baseItem="0"/>
  </dataFields>
  <chartFormats count="2">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2CDF95E-F006-4F47-8BA6-A727795FA244}" sourceName="type">
  <pivotTables>
    <pivotTable tabId="4" name="PivotTable1"/>
  </pivotTables>
  <data>
    <tabular pivotCacheId="33618907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lure_type" xr10:uid="{92B186D6-0404-4056-BFF4-1241ED4441AE}" sourceName="failure_type">
  <pivotTables>
    <pivotTable tabId="4" name="PivotTable1"/>
  </pivotTables>
  <data>
    <tabular pivotCacheId="336189073">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CFCC242F-618D-41B9-B36B-609EAEB65FDF}" cache="Slicer_type" caption="type" style="SlicerStyleDark3" rowHeight="234950"/>
  <slicer name="failure_type" xr10:uid="{E2FC1522-B81C-4D3F-A4F4-AB68746E3B88}" cache="Slicer_failure_type" caption="failure_type"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B834D-ABC9-4621-93A0-0556585A4854}" name="failure_type" displayName="failure_type" ref="A1:B6" totalsRowShown="0" headerRowDxfId="10">
  <autoFilter ref="A1:B6" xr:uid="{977B834D-ABC9-4621-93A0-0556585A4854}"/>
  <tableColumns count="2">
    <tableColumn id="1" xr3:uid="{AF056690-0692-4ACB-A3D1-E68FAA701F91}" name="total_failures"/>
    <tableColumn id="2" xr3:uid="{789BD07D-A892-43CD-9FAA-E74970F2F753}" name="failure_type"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24C8D-D93E-472A-AD8D-E41959623901}" name="Table2" displayName="Table2" ref="E1:J7" totalsRowShown="0" headerRowDxfId="8">
  <autoFilter ref="E1:J7" xr:uid="{03E24C8D-D93E-472A-AD8D-E41959623901}"/>
  <tableColumns count="6">
    <tableColumn id="1" xr3:uid="{41BC9C4A-4000-4863-A3B7-1B49122C9757}" name="failure_type"/>
    <tableColumn id="2" xr3:uid="{5DD14D50-8B9E-4526-BECF-80320DF7EFDE}" name="total_failures"/>
    <tableColumn id="3" xr3:uid="{B1FD5BB4-B5E4-4358-81C3-0C9838639956}" name="avg_process_temp"/>
    <tableColumn id="4" xr3:uid="{BA3D21AE-F3B2-40DC-9205-24C068D46993}" name="avg_air_temp"/>
    <tableColumn id="5" xr3:uid="{D1449C57-D0AF-4A51-8702-BE9DCD2D880F}" name="avg_speed"/>
    <tableColumn id="6" xr3:uid="{5173F7FC-0127-4500-BE4D-E43A1FD6795C}" name="avg_torq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D15530-6A19-4601-B886-984F2303E6EC}" name="Table3" displayName="Table3" ref="E10:J12" totalsRowShown="0" headerRowDxfId="7">
  <autoFilter ref="E10:J12" xr:uid="{91D15530-6A19-4601-B886-984F2303E6EC}"/>
  <tableColumns count="6">
    <tableColumn id="1" xr3:uid="{1B51DB16-7059-4CFC-B16B-F8656C081FF8}" name="status"/>
    <tableColumn id="2" xr3:uid="{E2AC3E14-626C-49C5-B701-3C3FDCD5E1CE}" name="total_rows"/>
    <tableColumn id="3" xr3:uid="{1B5054F9-009A-42D2-BEA8-138E90D362BF}" name="avg_process_temp"/>
    <tableColumn id="4" xr3:uid="{47B7B683-63F4-43B5-A774-6AD942781003}" name="avg_air_temp"/>
    <tableColumn id="5" xr3:uid="{D7EAD602-67F3-405F-A59E-16A50EA20E65}" name="avg_speed"/>
    <tableColumn id="6" xr3:uid="{EAAF08DE-91F0-4DD6-80AF-B91CE1389458}" name="avg_torq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94121A-1AE7-4638-959E-5BF10A6FA246}" name="Table4" displayName="Table4" ref="L1:N4" totalsRowShown="0">
  <autoFilter ref="L1:N4" xr:uid="{C294121A-1AE7-4638-959E-5BF10A6FA246}"/>
  <tableColumns count="3">
    <tableColumn id="1" xr3:uid="{A103FCBD-CB0A-44B1-B729-C57F65ADE5F8}" name="P_TUYPE"/>
    <tableColumn id="3" xr3:uid="{0641E48D-E002-41A9-98D7-70669DBB6132}" name="persentage" dataCellStyle="Percent"/>
    <tableColumn id="2" xr3:uid="{07F1D7C3-FE5E-448F-AA04-17F3E6DF1522}" name="failu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855151-EFC2-4D77-8A1D-50D04398E7DA}" name="Table5" displayName="Table5" ref="E16:G31" totalsRowShown="0" headerRowDxfId="6">
  <autoFilter ref="E16:G31" xr:uid="{90855151-EFC2-4D77-8A1D-50D04398E7DA}"/>
  <tableColumns count="3">
    <tableColumn id="1" xr3:uid="{133CF670-EC5B-445F-93D5-9DA7BF9C1A31}" name="type"/>
    <tableColumn id="2" xr3:uid="{6C4E6833-C028-4CF9-90E9-5FB8BAB23D06}" name="failure_type"/>
    <tableColumn id="3" xr3:uid="{EACC99BF-C165-4512-9D6D-1253B855F65E}" name="total_failur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1B7BC1-904C-4FA2-BC52-BF6424A8EF97}" name="Table6" displayName="Table6" ref="J21:K24" totalsRowShown="0">
  <autoFilter ref="J21:K24" xr:uid="{2D1B7BC1-904C-4FA2-BC52-BF6424A8EF97}"/>
  <tableColumns count="2">
    <tableColumn id="1" xr3:uid="{D05BCE34-047D-4896-9B67-A83B8E735310}" name="avg_ToolWear"/>
    <tableColumn id="2" xr3:uid="{93D76667-ED6F-42AE-BC27-3E6278845424}" name="TYP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BFF1D4A-01C9-462D-9709-EB7B300925BF}" name="Table7" displayName="Table7" ref="E49:J55" totalsRowShown="0">
  <autoFilter ref="E49:J55" xr:uid="{FBFF1D4A-01C9-462D-9709-EB7B300925BF}"/>
  <tableColumns count="6">
    <tableColumn id="1" xr3:uid="{2F54F89F-A415-42D6-AD74-8243F1596DD4}" name="failure_type"/>
    <tableColumn id="2" xr3:uid="{4089D2E2-76B4-4EB7-B2FC-8EF114F36883}" name="total_failures"/>
    <tableColumn id="3" xr3:uid="{3AD349E1-3E16-406C-AAB7-A9ADB7C9A3A3}" name="min_process_temp"/>
    <tableColumn id="4" xr3:uid="{0544B497-4F10-4A8B-9330-CE368B3245EE}" name="min_air_temp"/>
    <tableColumn id="5" xr3:uid="{3E7CCE1F-2EFE-4A3F-8BAF-28E971843C1D}" name="min_speed"/>
    <tableColumn id="6" xr3:uid="{93BE017B-F613-4168-9FBC-065F05BD0B1C}" name="min_torq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workbookViewId="0">
      <selection activeCell="E49" sqref="E49:J55"/>
    </sheetView>
  </sheetViews>
  <sheetFormatPr defaultRowHeight="14.4" x14ac:dyDescent="0.3"/>
  <cols>
    <col min="1" max="1" width="15" customWidth="1"/>
    <col min="2" max="2" width="22.44140625" bestFit="1" customWidth="1"/>
    <col min="5" max="5" width="22.44140625" bestFit="1" customWidth="1"/>
    <col min="6" max="6" width="20.33203125" bestFit="1" customWidth="1"/>
    <col min="7" max="7" width="22.33203125" bestFit="1" customWidth="1"/>
    <col min="8" max="8" width="17.6640625" bestFit="1" customWidth="1"/>
    <col min="9" max="9" width="15" bestFit="1" customWidth="1"/>
    <col min="10" max="10" width="15.5546875" bestFit="1" customWidth="1"/>
    <col min="12" max="13" width="11" customWidth="1"/>
  </cols>
  <sheetData>
    <row r="1" spans="1:14" x14ac:dyDescent="0.3">
      <c r="A1" s="1" t="s">
        <v>0</v>
      </c>
      <c r="B1" s="5" t="s">
        <v>1</v>
      </c>
      <c r="E1" s="1" t="s">
        <v>1</v>
      </c>
      <c r="F1" s="1" t="s">
        <v>0</v>
      </c>
      <c r="G1" s="1" t="s">
        <v>7</v>
      </c>
      <c r="H1" s="1" t="s">
        <v>8</v>
      </c>
      <c r="I1" s="1" t="s">
        <v>9</v>
      </c>
      <c r="J1" s="1" t="s">
        <v>10</v>
      </c>
      <c r="L1" t="s">
        <v>20</v>
      </c>
      <c r="M1" t="s">
        <v>23</v>
      </c>
      <c r="N1" t="s">
        <v>21</v>
      </c>
    </row>
    <row r="2" spans="1:14" x14ac:dyDescent="0.3">
      <c r="A2">
        <v>112</v>
      </c>
      <c r="B2" s="6" t="s">
        <v>2</v>
      </c>
      <c r="E2" t="s">
        <v>3</v>
      </c>
      <c r="F2">
        <v>9652</v>
      </c>
      <c r="G2">
        <v>309.99434314131787</v>
      </c>
      <c r="H2">
        <v>299.97285536676338</v>
      </c>
      <c r="I2">
        <v>1540.3243887277249</v>
      </c>
      <c r="J2">
        <v>39.624316203895567</v>
      </c>
      <c r="L2" t="s">
        <v>17</v>
      </c>
      <c r="M2" s="3">
        <v>2.3900000000000001E-2</v>
      </c>
      <c r="N2">
        <v>21</v>
      </c>
    </row>
    <row r="3" spans="1:14" x14ac:dyDescent="0.3">
      <c r="A3">
        <v>9</v>
      </c>
      <c r="B3" s="6" t="s">
        <v>3</v>
      </c>
      <c r="E3" t="s">
        <v>2</v>
      </c>
      <c r="F3">
        <v>112</v>
      </c>
      <c r="G3">
        <v>310.79910714285717</v>
      </c>
      <c r="H3">
        <v>302.56785714285712</v>
      </c>
      <c r="I3">
        <v>1337.9642857142858</v>
      </c>
      <c r="J3">
        <v>52.778571428571425</v>
      </c>
      <c r="L3" t="s">
        <v>18</v>
      </c>
      <c r="M3" s="3">
        <v>4.0500000000000001E-2</v>
      </c>
      <c r="N3">
        <v>235</v>
      </c>
    </row>
    <row r="4" spans="1:14" x14ac:dyDescent="0.3">
      <c r="A4">
        <v>78</v>
      </c>
      <c r="B4" s="6" t="s">
        <v>4</v>
      </c>
      <c r="E4" t="s">
        <v>5</v>
      </c>
      <c r="F4">
        <v>95</v>
      </c>
      <c r="G4">
        <v>309.95473684210526</v>
      </c>
      <c r="H4">
        <v>300.07578947368421</v>
      </c>
      <c r="I4">
        <v>1763.9684210526316</v>
      </c>
      <c r="J4">
        <v>48.514736842105258</v>
      </c>
      <c r="L4" t="s">
        <v>19</v>
      </c>
      <c r="M4" s="4">
        <v>2.7029999999999998E-2</v>
      </c>
      <c r="N4">
        <v>83</v>
      </c>
    </row>
    <row r="5" spans="1:14" x14ac:dyDescent="0.3">
      <c r="A5">
        <v>95</v>
      </c>
      <c r="B5" s="6" t="s">
        <v>5</v>
      </c>
      <c r="E5" t="s">
        <v>4</v>
      </c>
      <c r="F5">
        <v>78</v>
      </c>
      <c r="G5">
        <v>310.05128205128204</v>
      </c>
      <c r="H5">
        <v>299.86794871794871</v>
      </c>
      <c r="I5">
        <v>1354.2435897435898</v>
      </c>
      <c r="J5">
        <v>56.878205128205131</v>
      </c>
    </row>
    <row r="6" spans="1:14" x14ac:dyDescent="0.3">
      <c r="A6">
        <v>45</v>
      </c>
      <c r="B6" s="6" t="s">
        <v>6</v>
      </c>
      <c r="E6" t="s">
        <v>6</v>
      </c>
      <c r="F6">
        <v>45</v>
      </c>
      <c r="G6">
        <v>310.16444444444443</v>
      </c>
      <c r="H6">
        <v>300.28888888888889</v>
      </c>
      <c r="I6">
        <v>1570.6666666666667</v>
      </c>
      <c r="J6">
        <v>37.226666666666667</v>
      </c>
    </row>
    <row r="7" spans="1:14" x14ac:dyDescent="0.3">
      <c r="E7" t="s">
        <v>11</v>
      </c>
      <c r="F7">
        <v>18</v>
      </c>
      <c r="G7">
        <v>310.75555555555559</v>
      </c>
      <c r="H7">
        <v>300.76666666666665</v>
      </c>
      <c r="I7">
        <v>1489.4444444444443</v>
      </c>
      <c r="J7">
        <v>43.522222222222219</v>
      </c>
    </row>
    <row r="9" spans="1:14" x14ac:dyDescent="0.3">
      <c r="B9" s="2" t="s">
        <v>16</v>
      </c>
    </row>
    <row r="10" spans="1:14" x14ac:dyDescent="0.3">
      <c r="B10" s="2">
        <v>3.39</v>
      </c>
      <c r="E10" s="1" t="s">
        <v>12</v>
      </c>
      <c r="F10" s="1" t="s">
        <v>13</v>
      </c>
      <c r="G10" s="1" t="s">
        <v>7</v>
      </c>
      <c r="H10" s="1" t="s">
        <v>8</v>
      </c>
      <c r="I10" s="1" t="s">
        <v>9</v>
      </c>
      <c r="J10" s="1" t="s">
        <v>10</v>
      </c>
    </row>
    <row r="11" spans="1:14" x14ac:dyDescent="0.3">
      <c r="E11" t="s">
        <v>14</v>
      </c>
      <c r="F11">
        <v>9652</v>
      </c>
      <c r="G11">
        <v>309.99434314131787</v>
      </c>
      <c r="H11">
        <v>299.97285536676338</v>
      </c>
      <c r="I11">
        <v>1540.3243887277249</v>
      </c>
      <c r="J11">
        <v>39.624316203895567</v>
      </c>
    </row>
    <row r="12" spans="1:14" x14ac:dyDescent="0.3">
      <c r="E12" t="s">
        <v>15</v>
      </c>
      <c r="F12">
        <v>348</v>
      </c>
      <c r="G12">
        <v>310.31666666666666</v>
      </c>
      <c r="H12">
        <v>300.89454022988508</v>
      </c>
      <c r="I12">
        <v>1495.8333333333333</v>
      </c>
      <c r="J12">
        <v>50.043678160919541</v>
      </c>
    </row>
    <row r="16" spans="1:14" x14ac:dyDescent="0.3">
      <c r="E16" s="1" t="s">
        <v>22</v>
      </c>
      <c r="F16" s="1" t="s">
        <v>1</v>
      </c>
      <c r="G16" s="12" t="s">
        <v>0</v>
      </c>
    </row>
    <row r="17" spans="2:11" x14ac:dyDescent="0.3">
      <c r="E17" t="s">
        <v>17</v>
      </c>
      <c r="F17" t="s">
        <v>2</v>
      </c>
      <c r="G17">
        <v>8</v>
      </c>
    </row>
    <row r="18" spans="2:11" x14ac:dyDescent="0.3">
      <c r="B18" t="s">
        <v>34</v>
      </c>
      <c r="E18" t="s">
        <v>17</v>
      </c>
      <c r="F18" t="s">
        <v>6</v>
      </c>
      <c r="G18">
        <v>6</v>
      </c>
    </row>
    <row r="19" spans="2:11" x14ac:dyDescent="0.3">
      <c r="B19">
        <v>107</v>
      </c>
      <c r="E19" t="s">
        <v>17</v>
      </c>
      <c r="F19" t="s">
        <v>5</v>
      </c>
      <c r="G19">
        <v>5</v>
      </c>
    </row>
    <row r="20" spans="2:11" x14ac:dyDescent="0.3">
      <c r="E20" t="s">
        <v>17</v>
      </c>
      <c r="F20" t="s">
        <v>11</v>
      </c>
      <c r="G20">
        <v>4</v>
      </c>
    </row>
    <row r="21" spans="2:11" x14ac:dyDescent="0.3">
      <c r="E21" t="s">
        <v>17</v>
      </c>
      <c r="F21" t="s">
        <v>4</v>
      </c>
      <c r="G21">
        <v>1</v>
      </c>
      <c r="J21" t="s">
        <v>34</v>
      </c>
      <c r="K21" t="s">
        <v>36</v>
      </c>
    </row>
    <row r="22" spans="2:11" x14ac:dyDescent="0.3">
      <c r="E22" t="s">
        <v>18</v>
      </c>
      <c r="F22" t="s">
        <v>2</v>
      </c>
      <c r="G22">
        <v>74</v>
      </c>
      <c r="J22">
        <v>107</v>
      </c>
      <c r="K22" t="s">
        <v>17</v>
      </c>
    </row>
    <row r="23" spans="2:11" x14ac:dyDescent="0.3">
      <c r="E23" t="s">
        <v>18</v>
      </c>
      <c r="F23" t="s">
        <v>4</v>
      </c>
      <c r="G23">
        <v>73</v>
      </c>
      <c r="I23" t="s">
        <v>35</v>
      </c>
      <c r="J23">
        <v>108</v>
      </c>
      <c r="K23" t="s">
        <v>18</v>
      </c>
    </row>
    <row r="24" spans="2:11" x14ac:dyDescent="0.3">
      <c r="E24" t="s">
        <v>18</v>
      </c>
      <c r="F24" t="s">
        <v>5</v>
      </c>
      <c r="G24">
        <v>59</v>
      </c>
      <c r="J24">
        <v>107</v>
      </c>
      <c r="K24" t="s">
        <v>19</v>
      </c>
    </row>
    <row r="25" spans="2:11" x14ac:dyDescent="0.3">
      <c r="E25" t="s">
        <v>18</v>
      </c>
      <c r="F25" t="s">
        <v>6</v>
      </c>
      <c r="G25">
        <v>25</v>
      </c>
    </row>
    <row r="26" spans="2:11" x14ac:dyDescent="0.3">
      <c r="E26" t="s">
        <v>18</v>
      </c>
      <c r="F26" t="s">
        <v>11</v>
      </c>
      <c r="G26">
        <v>12</v>
      </c>
    </row>
    <row r="27" spans="2:11" x14ac:dyDescent="0.3">
      <c r="E27" t="s">
        <v>19</v>
      </c>
      <c r="F27" t="s">
        <v>5</v>
      </c>
      <c r="G27">
        <v>31</v>
      </c>
    </row>
    <row r="28" spans="2:11" x14ac:dyDescent="0.3">
      <c r="E28" t="s">
        <v>19</v>
      </c>
      <c r="F28" t="s">
        <v>2</v>
      </c>
      <c r="G28">
        <v>30</v>
      </c>
    </row>
    <row r="29" spans="2:11" x14ac:dyDescent="0.3">
      <c r="E29" t="s">
        <v>19</v>
      </c>
      <c r="F29" t="s">
        <v>6</v>
      </c>
      <c r="G29">
        <v>14</v>
      </c>
    </row>
    <row r="30" spans="2:11" x14ac:dyDescent="0.3">
      <c r="E30" t="s">
        <v>19</v>
      </c>
      <c r="F30" t="s">
        <v>4</v>
      </c>
      <c r="G30">
        <v>4</v>
      </c>
    </row>
    <row r="31" spans="2:11" x14ac:dyDescent="0.3">
      <c r="E31" t="s">
        <v>19</v>
      </c>
      <c r="F31" t="s">
        <v>11</v>
      </c>
      <c r="G31">
        <v>2</v>
      </c>
    </row>
    <row r="49" spans="5:10" x14ac:dyDescent="0.3">
      <c r="E49" t="s">
        <v>1</v>
      </c>
      <c r="F49" t="s">
        <v>0</v>
      </c>
      <c r="G49" t="s">
        <v>38</v>
      </c>
      <c r="H49" t="s">
        <v>39</v>
      </c>
      <c r="I49" t="s">
        <v>40</v>
      </c>
      <c r="J49" t="s">
        <v>41</v>
      </c>
    </row>
    <row r="50" spans="5:10" x14ac:dyDescent="0.3">
      <c r="E50" t="s">
        <v>3</v>
      </c>
      <c r="F50">
        <v>9652</v>
      </c>
      <c r="G50">
        <v>305.70001220703102</v>
      </c>
      <c r="H50">
        <v>295.29998779296898</v>
      </c>
      <c r="I50">
        <v>1168</v>
      </c>
      <c r="J50">
        <v>12.6000003814697</v>
      </c>
    </row>
    <row r="51" spans="5:10" x14ac:dyDescent="0.3">
      <c r="E51" t="s">
        <v>2</v>
      </c>
      <c r="F51">
        <v>112</v>
      </c>
      <c r="G51">
        <v>309.39999389648398</v>
      </c>
      <c r="H51">
        <v>300.79998779296898</v>
      </c>
      <c r="I51">
        <v>1212</v>
      </c>
      <c r="J51">
        <v>41.599998474121101</v>
      </c>
    </row>
    <row r="52" spans="5:10" x14ac:dyDescent="0.3">
      <c r="E52" t="s">
        <v>5</v>
      </c>
      <c r="F52">
        <v>95</v>
      </c>
      <c r="G52">
        <v>306.20001220703102</v>
      </c>
      <c r="H52">
        <v>295.70001220703102</v>
      </c>
      <c r="I52">
        <v>1200</v>
      </c>
      <c r="J52">
        <v>3.7999999523162802</v>
      </c>
    </row>
    <row r="53" spans="5:10" x14ac:dyDescent="0.3">
      <c r="E53" t="s">
        <v>4</v>
      </c>
      <c r="F53">
        <v>78</v>
      </c>
      <c r="G53">
        <v>306.10000610351602</v>
      </c>
      <c r="H53">
        <v>295.60000610351602</v>
      </c>
      <c r="I53">
        <v>1181</v>
      </c>
      <c r="J53">
        <v>46.299999237060497</v>
      </c>
    </row>
    <row r="54" spans="5:10" x14ac:dyDescent="0.3">
      <c r="E54" t="s">
        <v>6</v>
      </c>
      <c r="F54">
        <v>45</v>
      </c>
      <c r="G54">
        <v>307.39999389648398</v>
      </c>
      <c r="H54">
        <v>296.89999389648398</v>
      </c>
      <c r="I54">
        <v>1323</v>
      </c>
      <c r="J54">
        <v>16.200000762939499</v>
      </c>
    </row>
    <row r="55" spans="5:10" x14ac:dyDescent="0.3">
      <c r="E55" t="s">
        <v>11</v>
      </c>
      <c r="F55">
        <v>18</v>
      </c>
      <c r="G55">
        <v>307.70001220703102</v>
      </c>
      <c r="H55">
        <v>297</v>
      </c>
      <c r="I55">
        <v>1306</v>
      </c>
      <c r="J55">
        <v>27.700000762939499</v>
      </c>
    </row>
  </sheetData>
  <pageMargins left="0.7" right="0.7" top="0.75" bottom="0.75" header="0.3" footer="0.3"/>
  <pageSetup orientation="portrait" horizontalDpi="4294967295" verticalDpi="4294967295"/>
  <tableParts count="7">
    <tablePart r:id="rId1"/>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0DB3-2A5B-41A8-A944-051DBB9FA2D6}">
  <dimension ref="A1"/>
  <sheetViews>
    <sheetView showGridLines="0"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1846-7A4A-4680-9DAA-E7EA0D8CE28B}">
  <dimension ref="A3:M38"/>
  <sheetViews>
    <sheetView workbookViewId="0">
      <selection activeCell="H18" sqref="H18"/>
    </sheetView>
  </sheetViews>
  <sheetFormatPr defaultRowHeight="14.4" x14ac:dyDescent="0.3"/>
  <cols>
    <col min="1" max="2" width="20.33203125" bestFit="1" customWidth="1"/>
    <col min="3" max="3" width="13.33203125" bestFit="1" customWidth="1"/>
    <col min="4" max="4" width="8.5546875" bestFit="1" customWidth="1"/>
    <col min="5" max="5" width="19.21875" bestFit="1" customWidth="1"/>
    <col min="6" max="6" width="23.5546875" bestFit="1" customWidth="1"/>
    <col min="7" max="7" width="20.33203125" bestFit="1" customWidth="1"/>
    <col min="8" max="8" width="15.5546875" bestFit="1" customWidth="1"/>
    <col min="9" max="9" width="4" bestFit="1" customWidth="1"/>
    <col min="10" max="10" width="3" bestFit="1" customWidth="1"/>
    <col min="11" max="11" width="10.77734375" bestFit="1" customWidth="1"/>
    <col min="12" max="12" width="12.5546875" bestFit="1" customWidth="1"/>
    <col min="13" max="13" width="15.33203125" bestFit="1" customWidth="1"/>
  </cols>
  <sheetData>
    <row r="3" spans="1:11" x14ac:dyDescent="0.3">
      <c r="A3" s="7" t="s">
        <v>24</v>
      </c>
      <c r="B3" t="s">
        <v>26</v>
      </c>
      <c r="E3" t="s">
        <v>28</v>
      </c>
      <c r="F3" t="s">
        <v>27</v>
      </c>
      <c r="G3" t="s">
        <v>29</v>
      </c>
      <c r="H3" t="s">
        <v>30</v>
      </c>
    </row>
    <row r="4" spans="1:11" x14ac:dyDescent="0.3">
      <c r="A4" s="8" t="s">
        <v>3</v>
      </c>
      <c r="B4" s="9">
        <v>9</v>
      </c>
      <c r="E4" s="13">
        <v>600.86739559664852</v>
      </c>
      <c r="F4" s="13">
        <v>620.31100980798453</v>
      </c>
      <c r="G4" s="13">
        <v>3036.1577220610579</v>
      </c>
      <c r="H4" s="13">
        <v>89.667994364815115</v>
      </c>
    </row>
    <row r="5" spans="1:11" x14ac:dyDescent="0.3">
      <c r="A5" s="8" t="s">
        <v>6</v>
      </c>
      <c r="B5" s="9">
        <v>45</v>
      </c>
    </row>
    <row r="6" spans="1:11" x14ac:dyDescent="0.3">
      <c r="A6" s="8" t="s">
        <v>4</v>
      </c>
      <c r="B6" s="9">
        <v>78</v>
      </c>
    </row>
    <row r="7" spans="1:11" x14ac:dyDescent="0.3">
      <c r="A7" s="8" t="s">
        <v>5</v>
      </c>
      <c r="B7" s="9">
        <v>95</v>
      </c>
    </row>
    <row r="8" spans="1:11" x14ac:dyDescent="0.3">
      <c r="A8" s="8" t="s">
        <v>2</v>
      </c>
      <c r="B8" s="9">
        <v>112</v>
      </c>
    </row>
    <row r="9" spans="1:11" x14ac:dyDescent="0.3">
      <c r="A9" s="8" t="s">
        <v>25</v>
      </c>
      <c r="B9" s="9">
        <v>339</v>
      </c>
    </row>
    <row r="14" spans="1:11" x14ac:dyDescent="0.3">
      <c r="G14" s="7" t="s">
        <v>26</v>
      </c>
      <c r="H14" s="7" t="s">
        <v>31</v>
      </c>
    </row>
    <row r="15" spans="1:11" x14ac:dyDescent="0.3">
      <c r="G15" s="7" t="s">
        <v>24</v>
      </c>
      <c r="H15" t="s">
        <v>17</v>
      </c>
      <c r="I15" t="s">
        <v>18</v>
      </c>
      <c r="J15" t="s">
        <v>19</v>
      </c>
      <c r="K15" t="s">
        <v>25</v>
      </c>
    </row>
    <row r="16" spans="1:11" x14ac:dyDescent="0.3">
      <c r="A16" s="7" t="s">
        <v>33</v>
      </c>
      <c r="B16" t="s">
        <v>32</v>
      </c>
      <c r="G16" s="8" t="s">
        <v>2</v>
      </c>
      <c r="H16" s="9">
        <v>8</v>
      </c>
      <c r="I16" s="9">
        <v>74</v>
      </c>
      <c r="J16" s="9">
        <v>30</v>
      </c>
      <c r="K16" s="9">
        <v>112</v>
      </c>
    </row>
    <row r="17" spans="1:13" x14ac:dyDescent="0.3">
      <c r="A17" s="8" t="s">
        <v>17</v>
      </c>
      <c r="B17" s="11">
        <v>0.26140216559116264</v>
      </c>
      <c r="G17" s="8" t="s">
        <v>4</v>
      </c>
      <c r="H17" s="9">
        <v>1</v>
      </c>
      <c r="I17" s="9">
        <v>73</v>
      </c>
      <c r="J17" s="9">
        <v>4</v>
      </c>
      <c r="K17" s="9">
        <v>78</v>
      </c>
    </row>
    <row r="18" spans="1:13" x14ac:dyDescent="0.3">
      <c r="A18" s="8" t="s">
        <v>18</v>
      </c>
      <c r="B18" s="11">
        <v>0.44296182872142625</v>
      </c>
      <c r="G18" s="8" t="s">
        <v>5</v>
      </c>
      <c r="H18" s="9">
        <v>5</v>
      </c>
      <c r="I18" s="9">
        <v>59</v>
      </c>
      <c r="J18" s="9">
        <v>31</v>
      </c>
      <c r="K18" s="9">
        <v>95</v>
      </c>
    </row>
    <row r="19" spans="1:13" x14ac:dyDescent="0.3">
      <c r="A19" s="8" t="s">
        <v>19</v>
      </c>
      <c r="B19" s="11">
        <v>0.29563600568741111</v>
      </c>
      <c r="G19" s="8" t="s">
        <v>11</v>
      </c>
      <c r="H19" s="9">
        <v>4</v>
      </c>
      <c r="I19" s="9">
        <v>12</v>
      </c>
      <c r="J19" s="9">
        <v>2</v>
      </c>
      <c r="K19" s="9">
        <v>18</v>
      </c>
    </row>
    <row r="20" spans="1:13" x14ac:dyDescent="0.3">
      <c r="A20" s="8" t="s">
        <v>25</v>
      </c>
      <c r="B20" s="10">
        <v>1</v>
      </c>
      <c r="G20" s="8" t="s">
        <v>6</v>
      </c>
      <c r="H20" s="9">
        <v>6</v>
      </c>
      <c r="I20" s="9">
        <v>25</v>
      </c>
      <c r="J20" s="9">
        <v>14</v>
      </c>
      <c r="K20" s="9">
        <v>45</v>
      </c>
    </row>
    <row r="21" spans="1:13" x14ac:dyDescent="0.3">
      <c r="G21" s="8" t="s">
        <v>25</v>
      </c>
      <c r="H21" s="9">
        <v>24</v>
      </c>
      <c r="I21" s="9">
        <v>243</v>
      </c>
      <c r="J21" s="9">
        <v>81</v>
      </c>
      <c r="K21" s="9">
        <v>348</v>
      </c>
    </row>
    <row r="25" spans="1:13" x14ac:dyDescent="0.3">
      <c r="A25" t="s">
        <v>27</v>
      </c>
      <c r="B25" t="s">
        <v>28</v>
      </c>
      <c r="C25" t="s">
        <v>29</v>
      </c>
      <c r="D25" t="s">
        <v>30</v>
      </c>
    </row>
    <row r="26" spans="1:13" x14ac:dyDescent="0.3">
      <c r="A26" s="14">
        <v>1861.7194691775621</v>
      </c>
      <c r="B26" s="14">
        <v>1803.540006256809</v>
      </c>
      <c r="C26" s="13">
        <v>9056.6117963493434</v>
      </c>
      <c r="D26" s="13">
        <v>278.54471849166629</v>
      </c>
    </row>
    <row r="29" spans="1:13" x14ac:dyDescent="0.3">
      <c r="L29" s="7" t="s">
        <v>24</v>
      </c>
      <c r="M29" t="s">
        <v>37</v>
      </c>
    </row>
    <row r="30" spans="1:13" x14ac:dyDescent="0.3">
      <c r="L30" s="8" t="s">
        <v>17</v>
      </c>
      <c r="M30" s="9">
        <v>107</v>
      </c>
    </row>
    <row r="31" spans="1:13" x14ac:dyDescent="0.3">
      <c r="L31" s="8" t="s">
        <v>18</v>
      </c>
      <c r="M31" s="9">
        <v>108</v>
      </c>
    </row>
    <row r="32" spans="1:13" x14ac:dyDescent="0.3">
      <c r="L32" s="8" t="s">
        <v>19</v>
      </c>
      <c r="M32" s="9">
        <v>107</v>
      </c>
    </row>
    <row r="33" spans="2:13" x14ac:dyDescent="0.3">
      <c r="B33" s="7" t="s">
        <v>24</v>
      </c>
      <c r="C33" t="s">
        <v>42</v>
      </c>
      <c r="D33" t="s">
        <v>43</v>
      </c>
      <c r="L33" s="8" t="s">
        <v>25</v>
      </c>
      <c r="M33" s="9">
        <v>322</v>
      </c>
    </row>
    <row r="34" spans="2:13" x14ac:dyDescent="0.3">
      <c r="B34" s="8" t="s">
        <v>2</v>
      </c>
      <c r="C34" s="15">
        <v>309.39999389648398</v>
      </c>
      <c r="D34" s="15">
        <v>300.79998779296898</v>
      </c>
    </row>
    <row r="35" spans="2:13" x14ac:dyDescent="0.3">
      <c r="B35" s="8" t="s">
        <v>4</v>
      </c>
      <c r="C35" s="15">
        <v>306.10000610351602</v>
      </c>
      <c r="D35" s="15">
        <v>295.60000610351602</v>
      </c>
    </row>
    <row r="36" spans="2:13" x14ac:dyDescent="0.3">
      <c r="B36" s="8" t="s">
        <v>5</v>
      </c>
      <c r="C36" s="15">
        <v>306.20001220703102</v>
      </c>
      <c r="D36" s="15">
        <v>295.70001220703102</v>
      </c>
    </row>
    <row r="37" spans="2:13" x14ac:dyDescent="0.3">
      <c r="B37" s="8" t="s">
        <v>11</v>
      </c>
      <c r="C37" s="15">
        <v>307.70001220703102</v>
      </c>
      <c r="D37" s="15">
        <v>297</v>
      </c>
    </row>
    <row r="38" spans="2:13" x14ac:dyDescent="0.3">
      <c r="B38" s="8" t="s">
        <v>6</v>
      </c>
      <c r="C38" s="15">
        <v>307.39999389648398</v>
      </c>
      <c r="D38" s="15">
        <v>296.89999389648398</v>
      </c>
    </row>
  </sheetData>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 tables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2026-03-10T19:58:02Z</dcterms:created>
  <dcterms:modified xsi:type="dcterms:W3CDTF">2026-03-11T19:01:15Z</dcterms:modified>
  <cp:category/>
</cp:coreProperties>
</file>